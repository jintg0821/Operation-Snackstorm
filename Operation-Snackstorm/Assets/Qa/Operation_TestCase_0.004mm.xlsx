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46DE9C-20E9-4973-AE66-4B09377C12E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vcpU9SSahoHxKAE7ZeC+1hIu5XkzB/Fz+78C2gVy7k="/>
    </ext>
  </extLst>
</workbook>
</file>

<file path=xl/calcChain.xml><?xml version="1.0" encoding="utf-8"?>
<calcChain xmlns="http://schemas.openxmlformats.org/spreadsheetml/2006/main">
  <c r="L92" i="1" l="1"/>
  <c r="L88" i="1"/>
  <c r="L86" i="1"/>
  <c r="L87" i="1" s="1"/>
  <c r="L85" i="1"/>
  <c r="L84" i="1"/>
  <c r="L81" i="1"/>
  <c r="L107" i="1"/>
  <c r="L108" i="1" s="1"/>
  <c r="L109" i="1" s="1"/>
  <c r="L111" i="1" s="1"/>
  <c r="L99" i="1"/>
  <c r="L100" i="1" s="1"/>
  <c r="L101" i="1" s="1"/>
  <c r="L102" i="1" s="1"/>
  <c r="L104" i="1" s="1"/>
  <c r="L72" i="1"/>
  <c r="L71" i="1"/>
  <c r="L67" i="1"/>
  <c r="L68" i="1" s="1"/>
  <c r="L69" i="1" s="1"/>
  <c r="L70" i="1" s="1"/>
  <c r="L78" i="1"/>
  <c r="L79" i="1" s="1"/>
  <c r="L80" i="1" s="1"/>
  <c r="L77" i="1"/>
  <c r="L93" i="1"/>
  <c r="L94" i="1" s="1"/>
  <c r="L95" i="1" s="1"/>
  <c r="L96" i="1" s="1"/>
  <c r="L97" i="1" s="1"/>
  <c r="L73" i="1" s="1"/>
  <c r="L74" i="1" s="1"/>
  <c r="L75" i="1" s="1"/>
  <c r="L76" i="1" s="1"/>
  <c r="E5" i="2"/>
  <c r="E4" i="2"/>
  <c r="I3" i="2"/>
  <c r="E3" i="2"/>
  <c r="L140" i="1"/>
  <c r="L137" i="1"/>
  <c r="L131" i="1"/>
  <c r="L127" i="1"/>
  <c r="L128" i="1" s="1"/>
  <c r="L129" i="1" s="1"/>
  <c r="L126" i="1"/>
  <c r="L116" i="1"/>
  <c r="L117" i="1" s="1"/>
  <c r="L118" i="1" s="1"/>
  <c r="L119" i="1" s="1"/>
  <c r="L120" i="1" s="1"/>
  <c r="L122" i="1" s="1"/>
  <c r="L123" i="1" s="1"/>
  <c r="L124" i="1" s="1"/>
  <c r="L125" i="1" s="1"/>
  <c r="L64" i="1"/>
  <c r="A64" i="1"/>
  <c r="A63" i="1"/>
  <c r="A62" i="1"/>
  <c r="A61" i="1"/>
  <c r="L60" i="1"/>
  <c r="L61" i="1" s="1"/>
  <c r="L62" i="1" s="1"/>
  <c r="A60" i="1"/>
  <c r="L59" i="1"/>
  <c r="A59" i="1"/>
  <c r="A58" i="1"/>
  <c r="A57" i="1"/>
  <c r="A56" i="1"/>
  <c r="A55" i="1"/>
  <c r="A54" i="1"/>
  <c r="A53" i="1"/>
  <c r="A52" i="1"/>
  <c r="A51" i="1"/>
  <c r="A50" i="1"/>
  <c r="L49" i="1"/>
  <c r="L50" i="1" s="1"/>
  <c r="L51" i="1" s="1"/>
  <c r="L52" i="1" s="1"/>
  <c r="L53" i="1" s="1"/>
  <c r="L55" i="1" s="1"/>
  <c r="L56" i="1" s="1"/>
  <c r="L57" i="1" s="1"/>
  <c r="L58" i="1" s="1"/>
  <c r="A49" i="1"/>
  <c r="L48" i="1"/>
  <c r="A48" i="1"/>
  <c r="A47" i="1"/>
  <c r="A46" i="1"/>
  <c r="A45" i="1"/>
  <c r="L44" i="1"/>
  <c r="L45" i="1" s="1"/>
  <c r="L46" i="1" s="1"/>
  <c r="A44" i="1"/>
  <c r="L43" i="1"/>
  <c r="A43" i="1"/>
  <c r="A42" i="1"/>
  <c r="A41" i="1"/>
  <c r="A40" i="1"/>
  <c r="A39" i="1"/>
  <c r="A38" i="1"/>
  <c r="A37" i="1"/>
  <c r="A36" i="1"/>
  <c r="A35" i="1"/>
  <c r="A34" i="1"/>
  <c r="L33" i="1"/>
  <c r="L34" i="1" s="1"/>
  <c r="L35" i="1" s="1"/>
  <c r="L36" i="1" s="1"/>
  <c r="L37" i="1" s="1"/>
  <c r="L39" i="1" s="1"/>
  <c r="L40" i="1" s="1"/>
  <c r="L41" i="1" s="1"/>
  <c r="L42" i="1" s="1"/>
  <c r="A33" i="1"/>
  <c r="L30" i="1"/>
  <c r="A30" i="1"/>
  <c r="A29" i="1"/>
  <c r="A28" i="1"/>
  <c r="A27" i="1"/>
  <c r="L26" i="1"/>
  <c r="L27" i="1" s="1"/>
  <c r="L28" i="1" s="1"/>
  <c r="A26" i="1"/>
  <c r="L25" i="1"/>
  <c r="A25" i="1"/>
  <c r="A24" i="1"/>
  <c r="A23" i="1"/>
  <c r="A22" i="1"/>
  <c r="A21" i="1"/>
  <c r="A19" i="1"/>
  <c r="A18" i="1"/>
  <c r="A17" i="1"/>
  <c r="A16" i="1"/>
  <c r="L15" i="1"/>
  <c r="L16" i="1" s="1"/>
  <c r="L17" i="1" s="1"/>
  <c r="L18" i="1" s="1"/>
  <c r="L19" i="1" s="1"/>
  <c r="L21" i="1" s="1"/>
  <c r="L22" i="1" s="1"/>
  <c r="L23" i="1" s="1"/>
  <c r="L24" i="1" s="1"/>
  <c r="A15" i="1"/>
  <c r="L14" i="1"/>
  <c r="A14" i="1"/>
  <c r="A13" i="1"/>
  <c r="A12" i="1"/>
  <c r="A11" i="1"/>
  <c r="L10" i="1"/>
  <c r="L11" i="1" s="1"/>
  <c r="L12" i="1" s="1"/>
  <c r="L13" i="1" s="1"/>
  <c r="A10" i="1"/>
  <c r="A9" i="1"/>
  <c r="A7" i="1"/>
  <c r="A6" i="1"/>
  <c r="A5" i="1"/>
  <c r="L2" i="1"/>
  <c r="L4" i="1" s="1"/>
  <c r="A2" i="1"/>
  <c r="E6" i="2" l="1"/>
  <c r="G5" i="2"/>
  <c r="G3" i="2"/>
  <c r="L5" i="1"/>
  <c r="L6" i="1" s="1"/>
  <c r="G4" i="2" l="1"/>
  <c r="G6" i="2" s="1"/>
  <c r="F5" i="2"/>
  <c r="F3" i="2"/>
  <c r="F4" i="2"/>
  <c r="L7" i="1"/>
  <c r="L9" i="1" l="1"/>
  <c r="F6" i="2"/>
  <c r="D5" i="2" l="1"/>
  <c r="D3" i="2"/>
  <c r="D4" i="2"/>
  <c r="D6" i="2" l="1"/>
  <c r="H5" i="2"/>
  <c r="I5" i="2"/>
  <c r="J5" i="2"/>
  <c r="C6" i="2"/>
  <c r="C3" i="2"/>
  <c r="C5" i="2"/>
  <c r="B5" i="2"/>
  <c r="I7" i="2"/>
  <c r="I6" i="2"/>
  <c r="J3" i="2"/>
  <c r="B4" i="2"/>
  <c r="C4" i="2"/>
  <c r="H3" i="2"/>
  <c r="H6" i="2"/>
  <c r="H7" i="2"/>
  <c r="G7" i="2"/>
  <c r="D7" i="2"/>
  <c r="E7" i="2"/>
  <c r="B3" i="2"/>
  <c r="B6" i="2"/>
  <c r="F7" i="2"/>
  <c r="L83" i="1"/>
  <c r="L82" i="1"/>
  <c r="H4" i="2"/>
  <c r="I4" i="2"/>
  <c r="J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ptos Narrow"/>
            <scheme val="minor"/>
          </rPr>
          <t>======
ID#AAABthau8LI
    (2025-10-24 16:10:42)
케이스 번호, 카운트 용도</t>
        </r>
      </text>
    </comment>
    <comment ref="B1" authorId="0" shapeId="0" xr:uid="{00000000-0006-0000-0000-000004000000}">
      <text>
        <r>
          <rPr>
            <sz val="10"/>
            <color rgb="FF000000"/>
            <rFont val="Aptos Narrow"/>
            <scheme val="minor"/>
          </rPr>
          <t>======
ID#AAABthau8LA
    (2025-10-24 16:10:42)
프로그램의 가장 큰단위로 나눌 수 있는 시스템 범주</t>
        </r>
      </text>
    </comment>
    <comment ref="C1" authorId="0" shapeId="0" xr:uid="{00000000-0006-0000-0000-000005000000}">
      <text>
        <r>
          <rPr>
            <sz val="10"/>
            <color rgb="FF000000"/>
            <rFont val="Aptos Narrow"/>
            <scheme val="minor"/>
          </rPr>
          <t>======
ID#AAABthau8LM
    (2025-10-24 16:10:42)
모듈의 집합을 알기 쉽도록 명칭</t>
        </r>
      </text>
    </comment>
    <comment ref="D1" authorId="0" shapeId="0" xr:uid="{00000000-0006-0000-0000-000009000000}">
      <text>
        <r>
          <rPr>
            <sz val="10"/>
            <color rgb="FF000000"/>
            <rFont val="Aptos Narrow"/>
            <scheme val="minor"/>
          </rPr>
          <t>======
ID#AAABthau8K0
    (2025-10-24 16:10:42)
모듈단위 분류</t>
        </r>
      </text>
    </comment>
    <comment ref="E1" authorId="0" shapeId="0" xr:uid="{00000000-0006-0000-0000-000006000000}">
      <text>
        <r>
          <rPr>
            <sz val="10"/>
            <color rgb="FF000000"/>
            <rFont val="Aptos Narrow"/>
            <scheme val="minor"/>
          </rPr>
          <t>======
ID#AAABthau8K8
    (2025-10-24 16:10:42)
사용자가 케이스의 내용을 빠르게 파악할 수 있도록 요약함</t>
        </r>
      </text>
    </comment>
    <comment ref="F1" authorId="0" shapeId="0" xr:uid="{00000000-0006-0000-0000-000007000000}">
      <text>
        <r>
          <rPr>
            <sz val="10"/>
            <color rgb="FF000000"/>
            <rFont val="Aptos Narrow"/>
            <scheme val="minor"/>
          </rPr>
          <t>======
ID#AAABthau8K4
    (2025-10-24 16:10:42)
실행방법 실행전 충족되야하는 조건</t>
        </r>
      </text>
    </comment>
    <comment ref="G1" authorId="0" shapeId="0" xr:uid="{00000000-0006-0000-0000-000008000000}">
      <text>
        <r>
          <rPr>
            <sz val="10"/>
            <color rgb="FF000000"/>
            <rFont val="Aptos Narrow"/>
            <scheme val="minor"/>
          </rPr>
          <t>======
ID#AAABthau8Kw
    (2025-10-24 16:10:42)
해당 케이스의 직접적인 실행 순서를 작성</t>
        </r>
      </text>
    </comment>
    <comment ref="H1" authorId="0" shapeId="0" xr:uid="{00000000-0006-0000-0000-000002000000}">
      <text>
        <r>
          <rPr>
            <sz val="10"/>
            <color rgb="FF000000"/>
            <rFont val="Aptos Narrow"/>
            <scheme val="minor"/>
          </rPr>
          <t>======
ID#AAABthau8LE
    (2025-10-24 16:10:42)
실행 순서에 대해 기대되는 결과를 입력</t>
        </r>
      </text>
    </comment>
    <comment ref="J1" authorId="0" shapeId="0" xr:uid="{00000000-0006-0000-0000-000003000000}">
      <text>
        <r>
          <rPr>
            <sz val="10"/>
            <color rgb="FF000000"/>
            <rFont val="Aptos Narrow"/>
            <scheme val="minor"/>
          </rPr>
          <t>======
ID#AAABthau8LQ
    (2025-10-24 16:10:42)
실제로 실행 순서를 실행한 결과를 입력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D4BBx3HsDgHlbF0c1vNiJYSXdw=="/>
    </ext>
  </extLst>
</comments>
</file>

<file path=xl/sharedStrings.xml><?xml version="1.0" encoding="utf-8"?>
<sst xmlns="http://schemas.openxmlformats.org/spreadsheetml/2006/main" count="958" uniqueCount="515">
  <si>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</si>
  <si>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</si>
  <si>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</si>
  <si>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</si>
  <si>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</si>
  <si>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</si>
  <si>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</si>
  <si>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</si>
  <si>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</si>
  <si>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</si>
  <si>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</si>
  <si>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</si>
  <si>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</si>
  <si>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</si>
  <si>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클라이언트를 실행한다</t>
  </si>
  <si>
    <r>
      <rPr>
        <sz val="9"/>
        <color theme="1"/>
        <rFont val="Verdana"/>
      </rPr>
      <t>1. "</t>
    </r>
    <r>
      <rPr>
        <sz val="9"/>
        <color theme="1"/>
        <rFont val="Verdana"/>
      </rPr>
      <t>Operation:Snackstorm.exe</t>
    </r>
    <r>
      <rPr>
        <sz val="9"/>
        <color theme="1"/>
        <rFont val="Verdana"/>
      </rPr>
      <t xml:space="preserve">" </t>
    </r>
    <r>
      <rPr>
        <sz val="9"/>
        <color theme="1"/>
        <rFont val="맑은 고딕"/>
        <family val="3"/>
        <charset val="129"/>
      </rPr>
      <t>파일실행</t>
    </r>
  </si>
  <si>
    <t>타이틀 화면이 정상적으로 표시</t>
  </si>
  <si>
    <t>Pass</t>
  </si>
  <si>
    <t>실행됨</t>
  </si>
  <si>
    <t>Pass: 테스트 성공</t>
  </si>
  <si>
    <t>버전확인</t>
  </si>
  <si>
    <t>타이틀 하단에 표시되는 빌드 버전이 문서의 버전과 일치하는지 확인한다</t>
  </si>
  <si>
    <t>타이틀화면 진입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</si>
  <si>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하단 버전 표기 확인</t>
    </r>
  </si>
  <si>
    <t>빌드 버전이 기획문서와 동일하다</t>
  </si>
  <si>
    <t>Fail</t>
  </si>
  <si>
    <t>안나옴</t>
  </si>
  <si>
    <t>안함</t>
  </si>
  <si>
    <t>윈도우기능</t>
  </si>
  <si>
    <t>제목/아이콘 표시</t>
  </si>
  <si>
    <t>좁은창에서 제목표시줄 내용을 확인한다</t>
  </si>
  <si>
    <r>
      <rPr>
        <sz val="9"/>
        <color theme="1"/>
        <rFont val="맑은 고딕"/>
        <family val="3"/>
        <charset val="129"/>
      </rPr>
      <t>타이틀화면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진입</t>
    </r>
  </si>
  <si>
    <t>1. 윈도우 타이틀바를 확인한다</t>
  </si>
  <si>
    <t>된다.</t>
  </si>
  <si>
    <t>Block</t>
  </si>
  <si>
    <t>타이틀 없음</t>
  </si>
  <si>
    <t>넓은창에서 제목표시줄을 내용을 확인한다</t>
  </si>
  <si>
    <r>
      <rPr>
        <sz val="9"/>
        <color theme="1"/>
        <rFont val="맑은 고딕"/>
        <family val="3"/>
        <charset val="129"/>
      </rPr>
      <t>타이틀화면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진입</t>
    </r>
  </si>
  <si>
    <t>된다</t>
  </si>
  <si>
    <t>작은 타이틀 없음</t>
  </si>
  <si>
    <t>최소화</t>
  </si>
  <si>
    <t>윈도우를 최소화 후 복귀한다</t>
  </si>
  <si>
    <t>인게임 시작전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</si>
  <si>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윈도우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최소화버튼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 xml:space="preserve">클릭
</t>
    </r>
    <r>
      <rPr>
        <sz val="9"/>
        <color theme="1"/>
        <rFont val="Verdana"/>
      </rPr>
      <t xml:space="preserve">2. </t>
    </r>
    <r>
      <rPr>
        <sz val="9"/>
        <color theme="1"/>
        <rFont val="맑은 고딕"/>
        <family val="3"/>
        <charset val="129"/>
      </rPr>
      <t>윈도우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작업표시줄에서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클릭</t>
    </r>
  </si>
  <si>
    <t>1. 게임이 최소화 되었다 복구된다</t>
  </si>
  <si>
    <t>N/A</t>
  </si>
  <si>
    <t>나옴</t>
  </si>
  <si>
    <t>성공</t>
  </si>
  <si>
    <t>게임중 윈도우를 최소화 후 복귀한다</t>
  </si>
  <si>
    <t>인게임 시작후</t>
  </si>
  <si>
    <t>1. 윈도우 최소화버튼 클릭
2. 일정 시간 대기(대략 3초)
2. 윈도우 작업표시줄에서 지뢰찾기 클릭</t>
  </si>
  <si>
    <t>1. 게임이 최소화 되었다 복구된다
2. 진행중이던 게임의 카운터가 최소화 시간 동안 멈춰있는다</t>
  </si>
  <si>
    <t>N/T</t>
  </si>
  <si>
    <t>돌아옴</t>
  </si>
  <si>
    <t>종료</t>
  </si>
  <si>
    <r>
      <rPr>
        <sz val="9"/>
        <color theme="1"/>
        <rFont val="Verdana"/>
      </rPr>
      <t>Alt+F4</t>
    </r>
    <r>
      <rPr>
        <sz val="9"/>
        <color theme="1"/>
        <rFont val="맑은 고딕"/>
        <family val="3"/>
        <charset val="129"/>
      </rPr>
      <t>를 눌러 즉시 끈다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</si>
  <si>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돋움"/>
        <family val="3"/>
        <charset val="129"/>
      </rPr>
      <t>윈도우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최소화버튼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클릭</t>
    </r>
  </si>
  <si>
    <t>꺼진다</t>
  </si>
  <si>
    <t>닫기</t>
  </si>
  <si>
    <r>
      <rPr>
        <sz val="9"/>
        <color theme="1"/>
        <rFont val="맑은 고딕"/>
        <family val="3"/>
        <charset val="129"/>
      </rPr>
      <t>윈도우를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닫는다</t>
    </r>
  </si>
  <si>
    <r>
      <rPr>
        <sz val="10"/>
        <color rgb="FF000000"/>
        <rFont val="Arial"/>
      </rPr>
      <t xml:space="preserve">1. </t>
    </r>
    <r>
      <rPr>
        <sz val="10"/>
        <color rgb="FF000000"/>
        <rFont val="돋움"/>
        <family val="3"/>
        <charset val="129"/>
      </rPr>
      <t>윈도우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닫기</t>
    </r>
  </si>
  <si>
    <t>이름 생성</t>
  </si>
  <si>
    <t>이름을 입력한다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</si>
  <si>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이름을 입력한다</t>
    </r>
  </si>
  <si>
    <t>다음화면으로 넘어간다</t>
  </si>
  <si>
    <t>입력한다</t>
  </si>
  <si>
    <t>메뉴기능</t>
  </si>
  <si>
    <t>로비</t>
  </si>
  <si>
    <t>방생성</t>
  </si>
  <si>
    <t>방을 생성한다</t>
  </si>
  <si>
    <t>이름을 생성한 후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</si>
  <si>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방 생성을 한후</t>
    </r>
    <r>
      <rPr>
        <sz val="9"/>
        <color theme="1"/>
        <rFont val="Verdana"/>
      </rPr>
      <t xml:space="preserve"> 2.</t>
    </r>
    <r>
      <rPr>
        <sz val="9"/>
        <color theme="1"/>
        <rFont val="맑은 고딕"/>
        <family val="3"/>
        <charset val="129"/>
      </rPr>
      <t>이름을 입력한다 3.생성을 누른다</t>
    </r>
  </si>
  <si>
    <r>
      <rPr>
        <sz val="9"/>
        <color theme="1"/>
        <rFont val="맑은 고딕"/>
        <family val="3"/>
        <charset val="129"/>
      </rPr>
      <t>대기실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화면이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보인다</t>
    </r>
  </si>
  <si>
    <t>방을 생성했다</t>
  </si>
  <si>
    <t>방찾기</t>
  </si>
  <si>
    <r>
      <rPr>
        <sz val="9"/>
        <color theme="1"/>
        <rFont val="맑은 고딕"/>
        <family val="3"/>
        <charset val="129"/>
      </rPr>
      <t>방을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들어간다</t>
    </r>
  </si>
  <si>
    <t>이미 생성된 방이 있을경우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</si>
  <si>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대기실을 누른다</t>
    </r>
  </si>
  <si>
    <t>대기실 화면이 보인다</t>
  </si>
  <si>
    <t>방에 들어갔다</t>
  </si>
  <si>
    <t>네트워크 끊김 복구</t>
  </si>
  <si>
    <t>연결이 끊겼을 때 다시 연결되는지 확인한다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</si>
  <si>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기다린다</t>
    </r>
  </si>
  <si>
    <t>다시 연결된다</t>
  </si>
  <si>
    <t>연결 못 끊음</t>
  </si>
  <si>
    <t>다행</t>
  </si>
  <si>
    <t>행동 취소</t>
  </si>
  <si>
    <t>행동을 취소한다</t>
  </si>
  <si>
    <t>생성을 하기 전에</t>
  </si>
  <si>
    <r>
      <rPr>
        <sz val="9"/>
        <color theme="1"/>
        <rFont val="Verdana"/>
      </rPr>
      <t>1.esc</t>
    </r>
    <r>
      <rPr>
        <sz val="9"/>
        <color theme="1"/>
        <rFont val="맑은 고딕"/>
        <family val="3"/>
        <charset val="129"/>
      </rPr>
      <t>를 누른다</t>
    </r>
    <r>
      <rPr>
        <sz val="9"/>
        <color theme="1"/>
        <rFont val="Verdana"/>
      </rPr>
      <t xml:space="preserve"> 2.</t>
    </r>
    <r>
      <rPr>
        <sz val="9"/>
        <color theme="1"/>
        <rFont val="맑은 고딕"/>
        <family val="3"/>
        <charset val="129"/>
      </rPr>
      <t>x ui를 누른다</t>
    </r>
  </si>
  <si>
    <t>ui 창이 꺼진다.</t>
  </si>
  <si>
    <t>안됨</t>
  </si>
  <si>
    <t>인게임기능</t>
  </si>
  <si>
    <r>
      <rPr>
        <sz val="10"/>
        <color rgb="FF000000"/>
        <rFont val="Arial"/>
      </rPr>
      <t>1</t>
    </r>
    <r>
      <rPr>
        <sz val="10"/>
        <color rgb="FF000000"/>
        <rFont val="맑은 고딕"/>
        <family val="3"/>
        <charset val="129"/>
      </rPr>
      <t>라운드</t>
    </r>
  </si>
  <si>
    <t>게임시작</t>
  </si>
  <si>
    <t>1라운드가 시작한다</t>
  </si>
  <si>
    <t>대기실에 들어간 후</t>
  </si>
  <si>
    <t>타이머 작동</t>
  </si>
  <si>
    <t>카운트</t>
  </si>
  <si>
    <t>게임 카운트가 시작된다</t>
  </si>
  <si>
    <t>1. 오른쪽 상단에 숫자가 준다</t>
  </si>
  <si>
    <t>숫자가 줄어든다</t>
  </si>
  <si>
    <r>
      <rPr>
        <sz val="9"/>
        <color theme="1"/>
        <rFont val="Verdana"/>
      </rPr>
      <t>90</t>
    </r>
    <r>
      <rPr>
        <sz val="9"/>
        <color theme="1"/>
        <rFont val="맑은 고딕"/>
        <family val="3"/>
        <charset val="129"/>
      </rPr>
      <t>초부터 하락</t>
    </r>
  </si>
  <si>
    <t>타이머가 종료되는가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</si>
  <si>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오른쪽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상단에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숫자가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0가 된다.</t>
    </r>
  </si>
  <si>
    <t>숫자가 0이 되고 다음 라운드를 기다린다</t>
  </si>
  <si>
    <t>종료된다</t>
  </si>
  <si>
    <t>아이템 구매</t>
  </si>
  <si>
    <t>매점 아이템을 구매한다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</si>
  <si>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 xml:space="preserve">매점에서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를 클릭한다  2.살 아이템을 고른다.</t>
    </r>
  </si>
  <si>
    <t>아이템이 나온다</t>
  </si>
  <si>
    <t>자판기 아이템을 구매한다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</si>
  <si>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자판기를 클릭한다. 2. 살 간식의 버튼을 누른다</t>
    </r>
  </si>
  <si>
    <t>자판기가 없다</t>
  </si>
  <si>
    <t>제작중</t>
  </si>
  <si>
    <t>인벤토리</t>
  </si>
  <si>
    <t>인벤토리가 열린다</t>
  </si>
  <si>
    <r>
      <rPr>
        <sz val="9"/>
        <color theme="1"/>
        <rFont val="Verdana"/>
      </rPr>
      <t>e</t>
    </r>
    <r>
      <rPr>
        <sz val="9"/>
        <color theme="1"/>
        <rFont val="맑은 고딕"/>
        <family val="3"/>
        <charset val="129"/>
      </rPr>
      <t>키를 누른다</t>
    </r>
  </si>
  <si>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</si>
  <si>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열린다</t>
    </r>
  </si>
  <si>
    <t>인벤토리가 제한 된다</t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</si>
  <si>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간식을 먹어 아이템을 다 채운다. 2.</t>
    </r>
    <r>
      <rPr>
        <sz val="10"/>
        <color rgb="FF000000"/>
        <rFont val="Arial"/>
      </rPr>
      <t>e</t>
    </r>
    <r>
      <rPr>
        <sz val="10"/>
        <color rgb="FF000000"/>
        <rFont val="맑은 고딕"/>
        <family val="3"/>
        <charset val="129"/>
      </rPr>
      <t>키를 눌러 확인한다. 3. 아이템을 본다</t>
    </r>
  </si>
  <si>
    <r>
      <rPr>
        <sz val="9"/>
        <color theme="1"/>
        <rFont val="맑은 고딕"/>
        <family val="3"/>
        <charset val="129"/>
      </rPr>
      <t>아이템이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먹어지지 않는다</t>
    </r>
  </si>
  <si>
    <t>제한된다</t>
  </si>
  <si>
    <t>아이템 드랍</t>
  </si>
  <si>
    <t>아이템을 드랍한다</t>
  </si>
  <si>
    <r>
      <rPr>
        <sz val="9"/>
        <color theme="1"/>
        <rFont val="Dotum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먹은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후</t>
    </r>
  </si>
  <si>
    <r>
      <rPr>
        <sz val="9"/>
        <color theme="1"/>
        <rFont val="Verdana"/>
      </rPr>
      <t>1.e</t>
    </r>
    <r>
      <rPr>
        <sz val="9"/>
        <color theme="1"/>
        <rFont val="맑은 고딕"/>
        <family val="3"/>
        <charset val="129"/>
      </rPr>
      <t>키를 눌러 인벤토리를 연다.  2.떨어뜨릴 아이템을 누른다</t>
    </r>
  </si>
  <si>
    <t>아이템을 손에 든다</t>
  </si>
  <si>
    <t>클릭이 안됨</t>
  </si>
  <si>
    <t>드랍된 아이템을 회수할 수 있다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</si>
  <si>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인벤토리에서 아이템을 든다. 2. 아이템을 떨어뜨린다. 3. 아이템을 집는다</t>
    </r>
  </si>
  <si>
    <t>아이템이 인벤토리에 들어온다</t>
  </si>
  <si>
    <t>드랍이 안됨</t>
  </si>
  <si>
    <t>상벌점</t>
  </si>
  <si>
    <t>벌점이 부여된다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</si>
  <si>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1.규칙을 위반한다. 2. 벌점을 받는다</t>
    </r>
  </si>
  <si>
    <r>
      <rPr>
        <sz val="9"/>
        <color theme="1"/>
        <rFont val="맑은 고딕"/>
        <family val="3"/>
        <charset val="129"/>
      </rPr>
      <t xml:space="preserve">벌점이 부여된 </t>
    </r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</si>
  <si>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t>없음</t>
  </si>
  <si>
    <t>상점이 부여된다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</si>
  <si>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2. 성공한다</t>
    </r>
  </si>
  <si>
    <r>
      <rPr>
        <sz val="9"/>
        <color theme="1"/>
        <rFont val="맑은 고딕"/>
        <family val="3"/>
        <charset val="129"/>
      </rPr>
      <t xml:space="preserve">상점이 부여된 </t>
    </r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뜬다</t>
    </r>
  </si>
  <si>
    <t>점수</t>
  </si>
  <si>
    <t>점수판이 나온다</t>
  </si>
  <si>
    <t>라운드가 전부 끝난다</t>
  </si>
  <si>
    <t>적용된 결과가 나온다</t>
  </si>
  <si>
    <t>결과가 나온다</t>
  </si>
  <si>
    <t>미니게임</t>
  </si>
  <si>
    <t>미니게임이 진행된다</t>
  </si>
  <si>
    <t>시간이 끝날 때 까지 게임 진행</t>
  </si>
  <si>
    <t>ai</t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</si>
  <si>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가 인식한다</t>
    </r>
  </si>
  <si>
    <r>
      <rPr>
        <sz val="9"/>
        <color theme="1"/>
        <rFont val="Verdana"/>
      </rPr>
      <t xml:space="preserve">npc </t>
    </r>
    <r>
      <rPr>
        <sz val="9"/>
        <color theme="1"/>
        <rFont val="맑은 고딕"/>
        <family val="3"/>
        <charset val="129"/>
      </rPr>
      <t>만날 때 까지 게임 진행</t>
    </r>
  </si>
  <si>
    <t>npc 가 따라오기 시작</t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</si>
  <si>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따라옴</t>
    </r>
  </si>
  <si>
    <r>
      <rPr>
        <sz val="10"/>
        <color rgb="FF000000"/>
        <rFont val="Arial"/>
      </rPr>
      <t>ai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움직인다</t>
    </r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</si>
  <si>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를 만난다</t>
    </r>
    <r>
      <rPr>
        <sz val="9"/>
        <color theme="1"/>
        <rFont val="Verdana"/>
      </rPr>
      <t xml:space="preserve">  2.</t>
    </r>
    <r>
      <rPr>
        <sz val="9"/>
        <color theme="1"/>
        <rFont val="맑은 고딕"/>
        <family val="3"/>
        <charset val="129"/>
      </rPr>
      <t>npc 범위 안으로 들어간다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</si>
  <si>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움직인다</t>
    </r>
  </si>
  <si>
    <r>
      <rPr>
        <sz val="10"/>
        <color rgb="FF000000"/>
        <rFont val="Arial"/>
      </rPr>
      <t>npc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움직임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</si>
  <si>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에게 잡힌다</t>
    </r>
  </si>
  <si>
    <r>
      <rPr>
        <sz val="10"/>
        <color rgb="FF000000"/>
        <rFont val="Arial"/>
      </rPr>
      <t>1. npc</t>
    </r>
    <r>
      <rPr>
        <sz val="10"/>
        <color rgb="FF000000"/>
        <rFont val="맑은 고딕"/>
        <family val="3"/>
        <charset val="129"/>
      </rPr>
      <t xml:space="preserve"> 범위 안으로 들어간다.  2. npc와 가까워진다.</t>
    </r>
  </si>
  <si>
    <t>교실로 돌아와지고 아이템이 사라진다.</t>
  </si>
  <si>
    <t>통과하여 지나감</t>
  </si>
  <si>
    <t>인벤토리의 아이템이 리셋된다</t>
  </si>
  <si>
    <r>
      <rPr>
        <sz val="9"/>
        <color theme="1"/>
        <rFont val="Verdana"/>
      </rPr>
      <t>1</t>
    </r>
    <r>
      <rPr>
        <sz val="9"/>
        <color theme="1"/>
        <rFont val="맑은 고딕"/>
        <family val="3"/>
        <charset val="129"/>
      </rPr>
      <t>라운드가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때</t>
    </r>
  </si>
  <si>
    <r>
      <rPr>
        <sz val="9"/>
        <color theme="1"/>
        <rFont val="Verdana"/>
      </rPr>
      <t>1. 2</t>
    </r>
    <r>
      <rPr>
        <sz val="9"/>
        <color theme="1"/>
        <rFont val="맑은 고딕"/>
        <family val="3"/>
        <charset val="129"/>
      </rPr>
      <t>라운드에 인벤토리를 확인한다</t>
    </r>
  </si>
  <si>
    <t>아이템이 전부 사라진다</t>
  </si>
  <si>
    <t>아이템이 사라짐</t>
  </si>
  <si>
    <t>리셋</t>
  </si>
  <si>
    <t>툴바의 아이템을 확인한다.</t>
  </si>
  <si>
    <r>
      <rPr>
        <sz val="9"/>
        <color theme="1"/>
        <rFont val="Verdana"/>
      </rPr>
      <t>1</t>
    </r>
    <r>
      <rPr>
        <sz val="9"/>
        <color theme="1"/>
        <rFont val="돋움"/>
        <family val="3"/>
        <charset val="129"/>
      </rPr>
      <t>라운드가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때</t>
    </r>
  </si>
  <si>
    <r>
      <rPr>
        <sz val="9"/>
        <color theme="1"/>
        <rFont val="Verdana"/>
      </rPr>
      <t>1. 2</t>
    </r>
    <r>
      <rPr>
        <sz val="9"/>
        <color theme="1"/>
        <rFont val="맑은 고딕"/>
        <family val="3"/>
        <charset val="129"/>
      </rPr>
      <t>라운드에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툴바를 확인한다.</t>
    </r>
  </si>
  <si>
    <t>아이템이 적용되고 돌아온다</t>
  </si>
  <si>
    <t>개수가 안나옴</t>
  </si>
  <si>
    <t>2라운드</t>
  </si>
  <si>
    <t>2라운드가 시작한다</t>
  </si>
  <si>
    <r>
      <rPr>
        <sz val="9"/>
        <color theme="1"/>
        <rFont val="Verdana"/>
      </rPr>
      <t>90</t>
    </r>
    <r>
      <rPr>
        <sz val="9"/>
        <color theme="1"/>
        <rFont val="맑은 고딕"/>
        <family val="3"/>
        <charset val="129"/>
      </rPr>
      <t>초부터 하락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</si>
  <si>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오른쪽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상단에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숫자가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0가 된다.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</si>
  <si>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 xml:space="preserve">매점에서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를 클릭한다  2.살 아이템을 고른다.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</si>
  <si>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자판기를 클릭한다. 2. 살 간식의 버튼을 누른다</t>
    </r>
  </si>
  <si>
    <r>
      <rPr>
        <sz val="9"/>
        <color theme="1"/>
        <rFont val="Verdana"/>
      </rPr>
      <t>e</t>
    </r>
    <r>
      <rPr>
        <sz val="9"/>
        <color theme="1"/>
        <rFont val="맑은 고딕"/>
        <family val="3"/>
        <charset val="129"/>
      </rPr>
      <t>키를 누른다</t>
    </r>
  </si>
  <si>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</si>
  <si>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열린다</t>
    </r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</si>
  <si>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간식을 먹어 아이템을 다 채운다. 2.</t>
    </r>
    <r>
      <rPr>
        <sz val="10"/>
        <color rgb="FF000000"/>
        <rFont val="Arial"/>
      </rPr>
      <t>e</t>
    </r>
    <r>
      <rPr>
        <sz val="10"/>
        <color rgb="FF000000"/>
        <rFont val="맑은 고딕"/>
        <family val="3"/>
        <charset val="129"/>
      </rPr>
      <t>키를 눌러 확인한다. 3. 아이템을 본다</t>
    </r>
  </si>
  <si>
    <r>
      <rPr>
        <sz val="9"/>
        <color theme="1"/>
        <rFont val="맑은 고딕"/>
        <family val="3"/>
        <charset val="129"/>
      </rPr>
      <t>아이템이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먹어지지 않는다</t>
    </r>
  </si>
  <si>
    <r>
      <rPr>
        <sz val="9"/>
        <color theme="1"/>
        <rFont val="Dotum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먹은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후</t>
    </r>
  </si>
  <si>
    <r>
      <rPr>
        <sz val="9"/>
        <color theme="1"/>
        <rFont val="Verdana"/>
      </rPr>
      <t>1.e</t>
    </r>
    <r>
      <rPr>
        <sz val="9"/>
        <color theme="1"/>
        <rFont val="맑은 고딕"/>
        <family val="3"/>
        <charset val="129"/>
      </rPr>
      <t>키를 눌러 인벤토리를 연다.  2.떨어뜨릴 아이템을 누른다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</si>
  <si>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인벤토리에서 아이템을 든다. 2. 아이템을 떨어뜨린다. 3. 아이템을 집는다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</si>
  <si>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1.규칙을 위반한다. 2. 벌점을 받는다</t>
    </r>
  </si>
  <si>
    <r>
      <rPr>
        <sz val="9"/>
        <color theme="1"/>
        <rFont val="맑은 고딕"/>
        <family val="3"/>
        <charset val="129"/>
      </rPr>
      <t xml:space="preserve">벌점이 부여된 </t>
    </r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</si>
  <si>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2. 성공한다</t>
    </r>
  </si>
  <si>
    <r>
      <rPr>
        <sz val="9"/>
        <color theme="1"/>
        <rFont val="맑은 고딕"/>
        <family val="3"/>
        <charset val="129"/>
      </rPr>
      <t xml:space="preserve">상점이 부여된 </t>
    </r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뜬다</t>
    </r>
  </si>
  <si>
    <t>라운드가 끝난 후</t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</si>
  <si>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가 인식한다</t>
    </r>
  </si>
  <si>
    <r>
      <rPr>
        <sz val="9"/>
        <color theme="1"/>
        <rFont val="Verdana"/>
      </rPr>
      <t xml:space="preserve">npc </t>
    </r>
    <r>
      <rPr>
        <sz val="9"/>
        <color theme="1"/>
        <rFont val="맑은 고딕"/>
        <family val="3"/>
        <charset val="129"/>
      </rPr>
      <t>만날 때 까지 게임 진행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</si>
  <si>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따라옴</t>
    </r>
  </si>
  <si>
    <r>
      <rPr>
        <sz val="10"/>
        <color rgb="FF000000"/>
        <rFont val="Arial"/>
      </rPr>
      <t>ai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움직인다</t>
    </r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</si>
  <si>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를 만난다</t>
    </r>
    <r>
      <rPr>
        <sz val="9"/>
        <color theme="1"/>
        <rFont val="Verdana"/>
      </rPr>
      <t xml:space="preserve">  2.</t>
    </r>
    <r>
      <rPr>
        <sz val="9"/>
        <color theme="1"/>
        <rFont val="맑은 고딕"/>
        <family val="3"/>
        <charset val="129"/>
      </rPr>
      <t>npc 범위 안으로 들어간다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</si>
  <si>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움직인다</t>
    </r>
  </si>
  <si>
    <r>
      <rPr>
        <sz val="10"/>
        <color rgb="FF000000"/>
        <rFont val="Arial"/>
      </rPr>
      <t>npc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움직임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</si>
  <si>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에게 잡힌다</t>
    </r>
  </si>
  <si>
    <r>
      <rPr>
        <sz val="10"/>
        <color rgb="FF000000"/>
        <rFont val="Arial"/>
      </rPr>
      <t>1. npc</t>
    </r>
    <r>
      <rPr>
        <sz val="10"/>
        <color rgb="FF000000"/>
        <rFont val="맑은 고딕"/>
        <family val="3"/>
        <charset val="129"/>
      </rPr>
      <t xml:space="preserve"> 범위 안으로 들어간다.  2. npc와 가까워진다.</t>
    </r>
  </si>
  <si>
    <r>
      <rPr>
        <sz val="10"/>
        <color rgb="FF000000"/>
        <rFont val="Arial"/>
      </rPr>
      <t>3</t>
    </r>
    <r>
      <rPr>
        <sz val="10"/>
        <color rgb="FF000000"/>
        <rFont val="맑은 고딕"/>
        <family val="3"/>
        <charset val="129"/>
      </rPr>
      <t>라운드</t>
    </r>
  </si>
  <si>
    <r>
      <rPr>
        <sz val="9"/>
        <color theme="1"/>
        <rFont val="맑은 고딕"/>
        <family val="3"/>
        <charset val="129"/>
      </rPr>
      <t>2라운드가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때</t>
    </r>
  </si>
  <si>
    <r>
      <rPr>
        <sz val="9"/>
        <color theme="1"/>
        <rFont val="Verdana"/>
      </rPr>
      <t>1. 3</t>
    </r>
    <r>
      <rPr>
        <sz val="9"/>
        <color theme="1"/>
        <rFont val="맑은 고딕"/>
        <family val="3"/>
        <charset val="129"/>
      </rPr>
      <t>라운드에 인벤토리를 확인한다</t>
    </r>
  </si>
  <si>
    <r>
      <rPr>
        <sz val="9"/>
        <color theme="1"/>
        <rFont val="Verdana"/>
      </rPr>
      <t>2</t>
    </r>
    <r>
      <rPr>
        <sz val="9"/>
        <color theme="1"/>
        <rFont val="맑은 고딕"/>
        <family val="3"/>
        <charset val="129"/>
      </rPr>
      <t>라운드가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끝났을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때</t>
    </r>
  </si>
  <si>
    <r>
      <rPr>
        <sz val="9"/>
        <color theme="1"/>
        <rFont val="Verdana"/>
      </rPr>
      <t>1. 3</t>
    </r>
    <r>
      <rPr>
        <sz val="9"/>
        <color theme="1"/>
        <rFont val="맑은 고딕"/>
        <family val="3"/>
        <charset val="129"/>
      </rPr>
      <t>라운드에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툴바를 확인한다.</t>
    </r>
  </si>
  <si>
    <t>3라운드가 시작한다</t>
  </si>
  <si>
    <r>
      <rPr>
        <sz val="9"/>
        <color theme="1"/>
        <rFont val="Verdana"/>
      </rPr>
      <t>90</t>
    </r>
    <r>
      <rPr>
        <sz val="9"/>
        <color theme="1"/>
        <rFont val="맑은 고딕"/>
        <family val="3"/>
        <charset val="129"/>
      </rPr>
      <t>초부터 하락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</si>
  <si>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오른쪽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상단에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숫자가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0가 된다.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</si>
  <si>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 xml:space="preserve">매점에서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를 클릭한다  2.살 아이템을 고른다.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</si>
  <si>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자판기를 클릭한다. 2. 살 간식의 버튼을 누른다</t>
    </r>
  </si>
  <si>
    <r>
      <rPr>
        <sz val="9"/>
        <color theme="1"/>
        <rFont val="Verdana"/>
      </rPr>
      <t>e</t>
    </r>
    <r>
      <rPr>
        <sz val="9"/>
        <color theme="1"/>
        <rFont val="맑은 고딕"/>
        <family val="3"/>
        <charset val="129"/>
      </rPr>
      <t>키를 누른다</t>
    </r>
  </si>
  <si>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</si>
  <si>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열린다</t>
    </r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</si>
  <si>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간식을 먹어 아이템을 다 채운다. 2.</t>
    </r>
    <r>
      <rPr>
        <sz val="10"/>
        <color rgb="FF000000"/>
        <rFont val="Arial"/>
      </rPr>
      <t>e</t>
    </r>
    <r>
      <rPr>
        <sz val="10"/>
        <color rgb="FF000000"/>
        <rFont val="맑은 고딕"/>
        <family val="3"/>
        <charset val="129"/>
      </rPr>
      <t>키를 눌러 확인한다. 3. 아이템을 본다</t>
    </r>
  </si>
  <si>
    <r>
      <rPr>
        <sz val="9"/>
        <color theme="1"/>
        <rFont val="맑은 고딕"/>
        <family val="3"/>
        <charset val="129"/>
      </rPr>
      <t>아이템이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먹어지지 않는다</t>
    </r>
  </si>
  <si>
    <r>
      <rPr>
        <sz val="9"/>
        <color theme="1"/>
        <rFont val="Dotum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먹은</t>
    </r>
    <r>
      <rPr>
        <sz val="9"/>
        <color theme="1"/>
        <rFont val="Verdana"/>
      </rPr>
      <t xml:space="preserve"> </t>
    </r>
    <r>
      <rPr>
        <sz val="9"/>
        <color theme="1"/>
        <rFont val="돋움"/>
        <family val="3"/>
        <charset val="129"/>
      </rPr>
      <t>후</t>
    </r>
  </si>
  <si>
    <r>
      <rPr>
        <sz val="9"/>
        <color theme="1"/>
        <rFont val="Verdana"/>
      </rPr>
      <t>1.e</t>
    </r>
    <r>
      <rPr>
        <sz val="9"/>
        <color theme="1"/>
        <rFont val="맑은 고딕"/>
        <family val="3"/>
        <charset val="129"/>
      </rPr>
      <t>키를 눌러 인벤토리를 연다.  2.떨어뜨릴 아이템을 누른다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</si>
  <si>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인벤토리에서 아이템을 든다. 2. 아이템을 떨어뜨린다. 3. 아이템을 집는다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</si>
  <si>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1.규칙을 위반한다. 2. 벌점을 받는다</t>
    </r>
  </si>
  <si>
    <r>
      <rPr>
        <sz val="9"/>
        <color theme="1"/>
        <rFont val="맑은 고딕"/>
        <family val="3"/>
        <charset val="129"/>
      </rPr>
      <t xml:space="preserve">벌점이 부여된 </t>
    </r>
    <r>
      <rPr>
        <sz val="9"/>
        <color theme="1"/>
        <rFont val="Verdana"/>
      </rPr>
      <t xml:space="preserve">ui 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</si>
  <si>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미니게임을 한다, 2. 성공한다</t>
    </r>
  </si>
  <si>
    <r>
      <rPr>
        <sz val="9"/>
        <color theme="1"/>
        <rFont val="맑은 고딕"/>
        <family val="3"/>
        <charset val="129"/>
      </rPr>
      <t xml:space="preserve">상점이 부여된 </t>
    </r>
    <r>
      <rPr>
        <sz val="9"/>
        <color theme="1"/>
        <rFont val="Verdana"/>
      </rPr>
      <t>ui</t>
    </r>
    <r>
      <rPr>
        <sz val="9"/>
        <color theme="1"/>
        <rFont val="맑은 고딕"/>
        <family val="3"/>
        <charset val="129"/>
      </rPr>
      <t>가 뜬다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</si>
  <si>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가 인식한다</t>
    </r>
  </si>
  <si>
    <r>
      <rPr>
        <sz val="9"/>
        <color theme="1"/>
        <rFont val="Verdana"/>
      </rPr>
      <t xml:space="preserve">npc </t>
    </r>
    <r>
      <rPr>
        <sz val="9"/>
        <color theme="1"/>
        <rFont val="맑은 고딕"/>
        <family val="3"/>
        <charset val="129"/>
      </rPr>
      <t>만날 때 까지 게임 진행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</si>
  <si>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따라옴</t>
    </r>
  </si>
  <si>
    <r>
      <rPr>
        <sz val="10"/>
        <color rgb="FF000000"/>
        <rFont val="Arial"/>
      </rPr>
      <t>ai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움직인다</t>
    </r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</si>
  <si>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를 만난다</t>
    </r>
    <r>
      <rPr>
        <sz val="9"/>
        <color theme="1"/>
        <rFont val="Verdana"/>
      </rPr>
      <t xml:space="preserve">  2.</t>
    </r>
    <r>
      <rPr>
        <sz val="9"/>
        <color theme="1"/>
        <rFont val="맑은 고딕"/>
        <family val="3"/>
        <charset val="129"/>
      </rPr>
      <t>npc 범위 안으로 들어간다</t>
    </r>
  </si>
  <si>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움직인다</t>
    </r>
  </si>
  <si>
    <r>
      <rPr>
        <sz val="10"/>
        <color rgb="FF000000"/>
        <rFont val="Arial"/>
      </rPr>
      <t>npc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움직임</t>
    </r>
  </si>
  <si>
    <r>
      <rPr>
        <sz val="9"/>
        <color theme="1"/>
        <rFont val="Verdana"/>
      </rPr>
      <t>ai</t>
    </r>
    <r>
      <rPr>
        <sz val="9"/>
        <color theme="1"/>
        <rFont val="맑은 고딕"/>
        <family val="3"/>
        <charset val="129"/>
      </rPr>
      <t>에게 잡힌다</t>
    </r>
  </si>
  <si>
    <r>
      <rPr>
        <sz val="10"/>
        <color rgb="FF000000"/>
        <rFont val="Arial"/>
      </rPr>
      <t>1. npc</t>
    </r>
    <r>
      <rPr>
        <sz val="10"/>
        <color rgb="FF000000"/>
        <rFont val="맑은 고딕"/>
        <family val="3"/>
        <charset val="129"/>
      </rPr>
      <t xml:space="preserve"> 범위 안으로 들어간다.  2. npc와 가까워진다.</t>
    </r>
  </si>
  <si>
    <t>네트워크</t>
  </si>
  <si>
    <t>라운드 진행</t>
  </si>
  <si>
    <t>맵</t>
  </si>
  <si>
    <t>충돌이 일어난다</t>
  </si>
  <si>
    <t>벽에 부딪혔을 때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</si>
  <si>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벽에 붙는다</t>
    </r>
  </si>
  <si>
    <t>그대로 멈춘다</t>
  </si>
  <si>
    <t>교장실 안으로 들어간다</t>
  </si>
  <si>
    <t>교장실 문이 열려있을 때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</si>
  <si>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교장실 문이 열려있다. 2. 교장실 안으로 들어간다</t>
    </r>
  </si>
  <si>
    <t>교장실없음</t>
  </si>
  <si>
    <t>라운드가 끝나고 교실로 돌아온다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</si>
  <si>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라운드를 진행한다.</t>
    </r>
  </si>
  <si>
    <t>교실로 돌아와진다.</t>
  </si>
  <si>
    <t>교실로 돌아와진다</t>
  </si>
  <si>
    <t>이벤트</t>
  </si>
  <si>
    <t>소화기</t>
  </si>
  <si>
    <t>소화기가 터진다</t>
  </si>
  <si>
    <t>소화기에 다가갔을 때</t>
  </si>
  <si>
    <t>1. 소화기에 다가간다 2.앞이 뿌애진다</t>
  </si>
  <si>
    <t>앞이 뿌애진다</t>
  </si>
  <si>
    <t>소화기의 연기가 사라진다</t>
  </si>
  <si>
    <t>소화기가 터졌을 때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</si>
  <si>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기다린다.  2.연기가 사라진다</t>
    </r>
  </si>
  <si>
    <t>소화기의 연기가 다른 플레이어의 시야를 가린다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</si>
  <si>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근처에 플레이어와 함께 있을 때 소화기를 터트린다. 2. 플레이어의 반응을 지켜본다</t>
    </r>
  </si>
  <si>
    <r>
      <rPr>
        <sz val="9"/>
        <color theme="1"/>
        <rFont val="맑은 고딕"/>
        <family val="3"/>
        <charset val="129"/>
      </rPr>
      <t>앞이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뿌애진다</t>
    </r>
  </si>
  <si>
    <t>npc가 따라오는 걸 멈춘다</t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</si>
  <si>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가 따라오는 중에 소화기를 터트린다  2.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가 행동을 멈춘다</t>
    </r>
  </si>
  <si>
    <t>이벤트 누락방지</t>
  </si>
  <si>
    <t>이벤트가 동시에 진행될 떄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</si>
  <si>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이벤트가 동시에 진행된다.  2. 진행한다.  3. 끝낸다</t>
    </r>
  </si>
  <si>
    <t>이벤트들이 겹쳐서 오류가뜨지 않는다.</t>
  </si>
  <si>
    <t>확인불가</t>
  </si>
  <si>
    <t>이벤트가 없음</t>
  </si>
  <si>
    <t>점수보정</t>
  </si>
  <si>
    <t>이벤트 중 아이템 획득 시</t>
  </si>
  <si>
    <r>
      <rPr>
        <sz val="10"/>
        <color rgb="FF000000"/>
        <rFont val="Arial"/>
      </rPr>
      <t xml:space="preserve">1. </t>
    </r>
    <r>
      <rPr>
        <sz val="10"/>
        <color rgb="FF000000"/>
        <rFont val="맑은 고딕"/>
        <family val="3"/>
        <charset val="129"/>
      </rPr>
      <t>이벤트를 진행한다. 2. 아이템을 획득한다</t>
    </r>
  </si>
  <si>
    <t>인벤토리에 들어온다</t>
  </si>
  <si>
    <t>시간제한</t>
  </si>
  <si>
    <t>시간 제한이 있는 이벤트 발동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</si>
  <si>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이벤트를 진행한다. 2. 이벤트 진행후 타이머가 사라지는 지확인한다</t>
    </r>
  </si>
  <si>
    <t>타이머가 사라진다</t>
  </si>
  <si>
    <t>동기화</t>
  </si>
  <si>
    <t>위치</t>
  </si>
  <si>
    <t>두 플레이어 간 위치 동기화 확인</t>
  </si>
  <si>
    <r>
      <rPr>
        <sz val="9"/>
        <color theme="1"/>
        <rFont val="Verdana"/>
      </rPr>
      <t>2</t>
    </r>
    <r>
      <rPr>
        <sz val="9"/>
        <color theme="1"/>
        <rFont val="맑은 고딕"/>
        <family val="3"/>
        <charset val="129"/>
      </rPr>
      <t>인 이상방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</si>
  <si>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이동비교</t>
    </r>
  </si>
  <si>
    <t>두명 다 같다</t>
  </si>
  <si>
    <t>아이템 획득</t>
  </si>
  <si>
    <t xml:space="preserve">동시에 아이템 획득 시 </t>
  </si>
  <si>
    <t>플레이어 간 동기화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</si>
  <si>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아이템 접근  2. 아이템 획득</t>
    </r>
  </si>
  <si>
    <t>아이템 획득 시 사라진다</t>
  </si>
  <si>
    <t>방장이 먹는다</t>
  </si>
  <si>
    <t>npc 추격 동기화</t>
  </si>
  <si>
    <t>npc 추격</t>
  </si>
  <si>
    <r>
      <rPr>
        <sz val="9"/>
        <color theme="1"/>
        <rFont val="Verdana"/>
      </rPr>
      <t>1. npc</t>
    </r>
    <r>
      <rPr>
        <sz val="9"/>
        <color theme="1"/>
        <rFont val="맑은 고딕"/>
        <family val="3"/>
        <charset val="129"/>
      </rPr>
      <t>가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따라오게 한다</t>
    </r>
  </si>
  <si>
    <t>같은 타이밍에 한사람만 따라간다</t>
  </si>
  <si>
    <t>같다</t>
  </si>
  <si>
    <t>라운드 시작이 같다</t>
  </si>
  <si>
    <t>라운드 시작</t>
  </si>
  <si>
    <t>라운드 타이머가 돌아가는 타이밍이 같다</t>
  </si>
  <si>
    <t>타이머가 같다</t>
  </si>
  <si>
    <t>라운드 종료</t>
  </si>
  <si>
    <t>1.타이머가 끝난다 2.현 라운드가 끝이 난다</t>
  </si>
  <si>
    <t>아이템 드랍 동기화</t>
  </si>
  <si>
    <r>
      <rPr>
        <sz val="9"/>
        <color theme="1"/>
        <rFont val="맑은 고딕"/>
        <family val="3"/>
        <charset val="129"/>
      </rPr>
      <t>아이템을</t>
    </r>
    <r>
      <rPr>
        <sz val="9"/>
        <color theme="1"/>
        <rFont val="Verdana"/>
      </rPr>
      <t xml:space="preserve"> </t>
    </r>
    <r>
      <rPr>
        <sz val="9"/>
        <color theme="1"/>
        <rFont val="맑은 고딕"/>
        <family val="3"/>
        <charset val="129"/>
      </rPr>
      <t>떨어뜨린 후</t>
    </r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</si>
  <si>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아이템을 떨어뜨린다. 2. 아이템이 바닥에 떨어진다</t>
    </r>
  </si>
  <si>
    <t>바닥에 떨어진 아이템 확인</t>
  </si>
  <si>
    <t>떨어진 아이템이 같다</t>
  </si>
  <si>
    <t>점수판의 데이터가 같다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</si>
  <si>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라운드가 종료된다. 2.플레이어 간의 점수가 같다</t>
    </r>
  </si>
  <si>
    <t>호스트변경</t>
  </si>
  <si>
    <t>서버의 주인이 나갈 시</t>
  </si>
  <si>
    <r>
      <rPr>
        <sz val="10"/>
        <color rgb="FF000000"/>
        <rFont val="Arial"/>
      </rPr>
      <t>1.</t>
    </r>
    <r>
      <rPr>
        <sz val="10"/>
        <color rgb="FF000000"/>
        <rFont val="맑은 고딕"/>
        <family val="3"/>
        <charset val="129"/>
      </rPr>
      <t>클라이언트가 나간다. 2.다른 사람이 클라이언트가 된다</t>
    </r>
  </si>
  <si>
    <t>클라이언트가 된다.</t>
  </si>
  <si>
    <t>클라이언트가 된다</t>
  </si>
  <si>
    <t>비정상 종료</t>
  </si>
  <si>
    <t>항명이 나간다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</si>
  <si>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남은 한명이 서버유지</t>
    </r>
  </si>
  <si>
    <t>유지된다</t>
  </si>
  <si>
    <t>이벤트 동기화</t>
  </si>
  <si>
    <t>이벤트가 일어난다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</si>
  <si>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 xml:space="preserve">이벤트가 일어난다.  2. 다른 플레이어는 이벤트중인 </t>
    </r>
    <r>
      <rPr>
        <sz val="9"/>
        <color theme="1"/>
        <rFont val="Verdana"/>
      </rPr>
      <t>npc</t>
    </r>
    <r>
      <rPr>
        <sz val="9"/>
        <color theme="1"/>
        <rFont val="맑은 고딕"/>
        <family val="3"/>
        <charset val="129"/>
      </rPr>
      <t>및 플레이어가 보인다</t>
    </r>
  </si>
  <si>
    <t>성능</t>
  </si>
  <si>
    <t>프레임 유지</t>
  </si>
  <si>
    <t xml:space="preserve">인게임에서 평균 60프레임 이상 유지되는가 </t>
  </si>
  <si>
    <t>권장사항에 맞춰서</t>
  </si>
  <si>
    <r>
      <rPr>
        <sz val="10"/>
        <color rgb="FF000000"/>
        <rFont val="Arial"/>
      </rPr>
      <t>1.</t>
    </r>
    <r>
      <rPr>
        <sz val="10"/>
        <color rgb="FF000000"/>
        <rFont val="맑은 고딕"/>
        <family val="3"/>
        <charset val="129"/>
      </rPr>
      <t>게임을 진행한다</t>
    </r>
  </si>
  <si>
    <t>백그라운드 복귀</t>
  </si>
  <si>
    <t>alt+tab 후 복귀 시 성능변화 확인</t>
  </si>
  <si>
    <t>게임실행중</t>
  </si>
  <si>
    <r>
      <rPr>
        <sz val="9"/>
        <color theme="1"/>
        <rFont val="Verdana"/>
      </rPr>
      <t>1.</t>
    </r>
    <r>
      <rPr>
        <sz val="9"/>
        <color theme="1"/>
        <rFont val="맑은 고딕"/>
        <family val="3"/>
        <charset val="129"/>
      </rPr>
      <t>창을 변경한다  2. 돌아온다</t>
    </r>
  </si>
  <si>
    <r>
      <rPr>
        <sz val="9"/>
        <color theme="1"/>
        <rFont val="Verdana"/>
      </rPr>
      <t xml:space="preserve">gpu </t>
    </r>
    <r>
      <rPr>
        <sz val="9"/>
        <color theme="1"/>
        <rFont val="맑은 고딕"/>
        <family val="3"/>
        <charset val="129"/>
      </rPr>
      <t>온도 상승</t>
    </r>
  </si>
  <si>
    <t>20분 플레이 후 온도확인</t>
  </si>
  <si>
    <t>사양 확인</t>
  </si>
  <si>
    <r>
      <rPr>
        <sz val="9"/>
        <color theme="1"/>
        <rFont val="Verdana"/>
      </rPr>
      <t xml:space="preserve">1. </t>
    </r>
    <r>
      <rPr>
        <sz val="9"/>
        <color theme="1"/>
        <rFont val="맑은 고딕"/>
        <family val="3"/>
        <charset val="129"/>
      </rPr>
      <t>온도 로그 확인</t>
    </r>
  </si>
  <si>
    <t>낮다</t>
  </si>
  <si>
    <t>라운드 반복 로딘</t>
  </si>
  <si>
    <t>10회 연속 재시작 후 안정성</t>
  </si>
  <si>
    <t>일반사양 pc</t>
  </si>
  <si>
    <r>
      <rPr>
        <sz val="10"/>
        <color rgb="FF000000"/>
        <rFont val="Arial"/>
      </rPr>
      <t>1.</t>
    </r>
    <r>
      <rPr>
        <sz val="10"/>
        <color rgb="FF000000"/>
        <rFont val="맑은 고딕"/>
        <family val="3"/>
        <charset val="129"/>
      </rPr>
      <t>반복플레이</t>
    </r>
  </si>
  <si>
    <t>괜찮다.</t>
  </si>
  <si>
    <t>안정적</t>
  </si>
  <si>
    <t>테스트케이스 현황</t>
  </si>
  <si>
    <t>분류</t>
  </si>
  <si>
    <t>개수</t>
  </si>
  <si>
    <t>비율</t>
  </si>
  <si>
    <t>Total</t>
  </si>
  <si>
    <t>Total(%)</t>
  </si>
  <si>
    <t>이벤트</t>
    <phoneticPr fontId="19" type="noConversion"/>
  </si>
  <si>
    <t>미술실</t>
    <phoneticPr fontId="19" type="noConversion"/>
  </si>
  <si>
    <t>진입</t>
    <phoneticPr fontId="19" type="noConversion"/>
  </si>
  <si>
    <t>이벤트 발생</t>
    <phoneticPr fontId="19" type="noConversion"/>
  </si>
  <si>
    <t>미술실 안에 진입한다</t>
    <phoneticPr fontId="19" type="noConversion"/>
  </si>
  <si>
    <t>미술실을 발견한다</t>
    <phoneticPr fontId="19" type="noConversion"/>
  </si>
  <si>
    <t>미술실 안으로 들어간다</t>
    <phoneticPr fontId="19" type="noConversion"/>
  </si>
  <si>
    <t>미술실 이벤트가 발생한다</t>
    <phoneticPr fontId="19" type="noConversion"/>
  </si>
  <si>
    <t>미술실 안에 들어갔을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</si>
  <si>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미술실 안으로 들어간다</t>
    </r>
    <phoneticPr fontId="19" type="noConversion"/>
  </si>
  <si>
    <t>이벤트가 시작된다</t>
    <phoneticPr fontId="19" type="noConversion"/>
  </si>
  <si>
    <t>패널티가 작용한다</t>
    <phoneticPr fontId="19" type="noConversion"/>
  </si>
  <si>
    <t>미술실 이벤트에 실패했을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</si>
  <si>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실패한다</t>
    </r>
    <phoneticPr fontId="19" type="noConversion"/>
  </si>
  <si>
    <t>디버프 발생</t>
    <phoneticPr fontId="19" type="noConversion"/>
  </si>
  <si>
    <t>성공보상이 들어온다</t>
    <phoneticPr fontId="19" type="noConversion"/>
  </si>
  <si>
    <t>이벤트를 성공한다</t>
    <phoneticPr fontId="19" type="noConversion"/>
  </si>
  <si>
    <t>1.이벤트에 성공한다</t>
    <phoneticPr fontId="19" type="noConversion"/>
  </si>
  <si>
    <t>미술실 카드가 툴바에 활성화된다.</t>
    <phoneticPr fontId="19" type="noConversion"/>
  </si>
  <si>
    <t>다른플레이어와 연동이된다</t>
    <phoneticPr fontId="19" type="noConversion"/>
  </si>
  <si>
    <t>플레이중일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</si>
  <si>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미술실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이벤트를 시작한다</t>
    </r>
    <phoneticPr fontId="19" type="noConversion"/>
  </si>
  <si>
    <t>다른 플레이어가 내가 게임중인 것이 보인다</t>
    <phoneticPr fontId="19" type="noConversion"/>
  </si>
  <si>
    <t>다른 플레이어가 시도중일 때 동시 참여가 안된다</t>
    <phoneticPr fontId="19" type="noConversion"/>
  </si>
  <si>
    <t>이벤트 플레이 중일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</si>
  <si>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다른 플레이어가 이벤트를 시작한다 2.미술실 안으로 들어간다</t>
    </r>
    <phoneticPr fontId="19" type="noConversion"/>
  </si>
  <si>
    <t>이벤트에 참여는 안되고 들어가진다.</t>
    <phoneticPr fontId="19" type="noConversion"/>
  </si>
  <si>
    <t>연동</t>
    <phoneticPr fontId="19" type="noConversion"/>
  </si>
  <si>
    <t>툴바</t>
    <phoneticPr fontId="19" type="noConversion"/>
  </si>
  <si>
    <t>대걸레</t>
    <phoneticPr fontId="19" type="noConversion"/>
  </si>
  <si>
    <t>대걸레 오브젝트가 보인다</t>
    <phoneticPr fontId="19" type="noConversion"/>
  </si>
  <si>
    <t>툴바를 이동했을 때</t>
    <phoneticPr fontId="19" type="noConversion"/>
  </si>
  <si>
    <r>
      <t>1.3</t>
    </r>
    <r>
      <rPr>
        <sz val="9"/>
        <color theme="1"/>
        <rFont val="맑은 고딕"/>
        <family val="3"/>
        <charset val="129"/>
      </rPr>
      <t>번을 눌러 대걸레를 선택한다</t>
    </r>
    <phoneticPr fontId="19" type="noConversion"/>
  </si>
  <si>
    <t>대걸레가 오른손에 장착된다</t>
    <phoneticPr fontId="19" type="noConversion"/>
  </si>
  <si>
    <t>캐릭터에 대걸레 애니메이션이 보인다</t>
    <phoneticPr fontId="19" type="noConversion"/>
  </si>
  <si>
    <t>대걸레를 손에 들고 있을 때</t>
    <phoneticPr fontId="19" type="noConversion"/>
  </si>
  <si>
    <r>
      <t>1.3</t>
    </r>
    <r>
      <rPr>
        <sz val="9"/>
        <color theme="1"/>
        <rFont val="맑은 고딕"/>
        <family val="3"/>
        <charset val="129"/>
      </rPr>
      <t>번을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눌러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대걸레를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선택한다 2.상호작용을 눌러 대걸레를 사용한다</t>
    </r>
    <phoneticPr fontId="19" type="noConversion"/>
  </si>
  <si>
    <t>해당 애니메이션이 나온다</t>
    <phoneticPr fontId="19" type="noConversion"/>
  </si>
  <si>
    <t>코인</t>
    <phoneticPr fontId="19" type="noConversion"/>
  </si>
  <si>
    <t>툴바에 코인이 보인다</t>
    <phoneticPr fontId="19" type="noConversion"/>
  </si>
  <si>
    <t xml:space="preserve">게임을 시작했을 때 </t>
    <phoneticPr fontId="19" type="noConversion"/>
  </si>
  <si>
    <t>게임을 시작한다</t>
    <phoneticPr fontId="19" type="noConversion"/>
  </si>
  <si>
    <t>보인다</t>
    <phoneticPr fontId="19" type="noConversion"/>
  </si>
  <si>
    <t>툴바에 코인이 늘어난다</t>
    <phoneticPr fontId="19" type="noConversion"/>
  </si>
  <si>
    <t xml:space="preserve">코인 아이템을 주웠을 때 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</si>
  <si>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게임을 실행한다 2. 코인을 줍는다</t>
    </r>
    <phoneticPr fontId="19" type="noConversion"/>
  </si>
  <si>
    <t>중앙하단에 코인 아이템의 개수가 늘어난다</t>
    <phoneticPr fontId="19" type="noConversion"/>
  </si>
  <si>
    <t>툴바의 코인이 사용된다</t>
    <phoneticPr fontId="19" type="noConversion"/>
  </si>
  <si>
    <t xml:space="preserve">매점/자판기에서 아이템을 사용할 때 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</si>
  <si>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간식을 구매한다</t>
    </r>
    <phoneticPr fontId="19" type="noConversion"/>
  </si>
  <si>
    <t>툴바의 코인의 개수가 줄어든다</t>
    <phoneticPr fontId="19" type="noConversion"/>
  </si>
  <si>
    <t>툴바의 코인이 사라진다</t>
    <phoneticPr fontId="19" type="noConversion"/>
  </si>
  <si>
    <t xml:space="preserve">특정이벤트 npc를 만났을 때 </t>
    <phoneticPr fontId="19" type="noConversion"/>
  </si>
  <si>
    <r>
      <t>1.npc</t>
    </r>
    <r>
      <rPr>
        <sz val="9"/>
        <color theme="1"/>
        <rFont val="맑은 고딕"/>
        <family val="3"/>
        <charset val="129"/>
      </rPr>
      <t>와 만난다</t>
    </r>
    <phoneticPr fontId="19" type="noConversion"/>
  </si>
  <si>
    <t>스케이트보드</t>
    <phoneticPr fontId="19" type="noConversion"/>
  </si>
  <si>
    <t>툴바의 스케이트 보드가 보인다</t>
    <phoneticPr fontId="19" type="noConversion"/>
  </si>
  <si>
    <t>게임이 시작됐을 때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</si>
  <si>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게임시작</t>
    </r>
    <phoneticPr fontId="19" type="noConversion"/>
  </si>
  <si>
    <t>클릭시</t>
    <phoneticPr fontId="19" type="noConversion"/>
  </si>
  <si>
    <t>스케이트 오브젝트가 생성된다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</si>
  <si>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스케이트 보드를 얻는다. 2.스케이트 보드를 탄다</t>
    </r>
    <phoneticPr fontId="19" type="noConversion"/>
  </si>
  <si>
    <t>애니메이션이 작동한다</t>
    <phoneticPr fontId="19" type="noConversion"/>
  </si>
  <si>
    <t>사물 혹은 npc와 부딪힐 시 넘어진다</t>
    <phoneticPr fontId="19" type="noConversion"/>
  </si>
  <si>
    <t>콜라이더 충돌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</si>
  <si>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>스케이트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보드에 탄다 2. 콜라이더 오브젝트와 충돌한다</t>
    </r>
    <phoneticPr fontId="19" type="noConversion"/>
  </si>
  <si>
    <t>넘어지고 스케이트보드가 사라진다.</t>
    <phoneticPr fontId="19" type="noConversion"/>
  </si>
  <si>
    <t>npc</t>
    <phoneticPr fontId="19" type="noConversion"/>
  </si>
  <si>
    <t>선생님</t>
    <phoneticPr fontId="19" type="noConversion"/>
  </si>
  <si>
    <t>학지부</t>
    <phoneticPr fontId="19" type="noConversion"/>
  </si>
  <si>
    <t>ai가 움직인다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</si>
  <si>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복도를 다닌다</t>
    </r>
    <phoneticPr fontId="19" type="noConversion"/>
  </si>
  <si>
    <t>npc가 움직인다</t>
    <phoneticPr fontId="19" type="noConversion"/>
  </si>
  <si>
    <t>ai가 인식한다</t>
    <phoneticPr fontId="19" type="noConversion"/>
  </si>
  <si>
    <t>캐릭터의 앞으로 왔을때</t>
    <phoneticPr fontId="19" type="noConversion"/>
  </si>
  <si>
    <r>
      <t>1.npc</t>
    </r>
    <r>
      <rPr>
        <sz val="9"/>
        <color theme="1"/>
        <rFont val="맑은 고딕"/>
        <family val="3"/>
        <charset val="129"/>
      </rPr>
      <t>의 시야 안으로 들어간다</t>
    </r>
    <phoneticPr fontId="19" type="noConversion"/>
  </si>
  <si>
    <t>npc가 쫓아온다</t>
    <phoneticPr fontId="19" type="noConversion"/>
  </si>
  <si>
    <t>ai가 쫓아온다</t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</si>
  <si>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시야안으로 들어간다</t>
    </r>
    <phoneticPr fontId="19" type="noConversion"/>
  </si>
  <si>
    <t>애니메이터가 각 행동에 맞게 작동한다</t>
    <phoneticPr fontId="19" type="noConversion"/>
  </si>
  <si>
    <t>npc의 애니메이션이 작동한다</t>
    <phoneticPr fontId="19" type="noConversion"/>
  </si>
  <si>
    <t>다른 플레이어가 다가와도 처음 걸린 플레이어를 쫓는다</t>
    <phoneticPr fontId="19" type="noConversion"/>
  </si>
  <si>
    <t>타겟이 되어있을 때</t>
    <phoneticPr fontId="19" type="noConversion"/>
  </si>
  <si>
    <t>1.먼저 시야안으로 들어간다 2.다른 플레이어가 시야안으로 들어간다</t>
    <phoneticPr fontId="19" type="noConversion"/>
  </si>
  <si>
    <t>처음 걸린 플레이어를 쫓아온다.</t>
    <phoneticPr fontId="19" type="noConversion"/>
  </si>
  <si>
    <t>매점아이템</t>
    <phoneticPr fontId="19" type="noConversion"/>
  </si>
  <si>
    <t>구매한 아이템이 다른 플레이어에게도 보인다</t>
    <phoneticPr fontId="19" type="noConversion"/>
  </si>
  <si>
    <t>멀티플레이로 매점에 진입한다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</si>
  <si>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>매점에 진입한다</t>
    </r>
    <r>
      <rPr>
        <sz val="10"/>
        <color rgb="FF000000"/>
        <rFont val="Arial"/>
        <family val="2"/>
      </rPr>
      <t xml:space="preserve"> 2.</t>
    </r>
    <r>
      <rPr>
        <sz val="10"/>
        <color rgb="FF000000"/>
        <rFont val="맑은 고딕"/>
        <family val="2"/>
        <charset val="129"/>
      </rPr>
      <t>음식을 구매한다</t>
    </r>
    <phoneticPr fontId="19" type="noConversion"/>
  </si>
  <si>
    <t>구매한 아이템을 뺏긴다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</si>
  <si>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>매점진입 2. 음식을 구매 3. 다른플레이어가 가져감</t>
    </r>
    <phoneticPr fontId="19" type="noConversion"/>
  </si>
  <si>
    <t>다른 플레이어에게 아이템을 뺏긴다.</t>
    <phoneticPr fontId="19" type="noConversion"/>
  </si>
  <si>
    <t>매점에 뜨는 아이템들이 전부 보인다</t>
    <phoneticPr fontId="19" type="noConversion"/>
  </si>
  <si>
    <t>매점에 진입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</si>
  <si>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 xml:space="preserve">매점 </t>
    </r>
    <r>
      <rPr>
        <sz val="10"/>
        <color rgb="FF000000"/>
        <rFont val="Arial"/>
        <family val="3"/>
      </rPr>
      <t>npc</t>
    </r>
    <r>
      <rPr>
        <sz val="10"/>
        <color rgb="FF000000"/>
        <rFont val="맑은 고딕"/>
        <family val="3"/>
        <charset val="129"/>
      </rPr>
      <t>와 상호작용</t>
    </r>
    <phoneticPr fontId="19" type="noConversion"/>
  </si>
  <si>
    <t>매점 ui 이미지 누락이 없다.</t>
    <phoneticPr fontId="19" type="noConversion"/>
  </si>
  <si>
    <t>교무실</t>
    <phoneticPr fontId="19" type="noConversion"/>
  </si>
  <si>
    <t>교무실 안에 진입한다</t>
    <phoneticPr fontId="19" type="noConversion"/>
  </si>
  <si>
    <t>교무실을 발견한다</t>
    <phoneticPr fontId="19" type="noConversion"/>
  </si>
  <si>
    <t>교무실 안으로 들어간다</t>
    <phoneticPr fontId="19" type="noConversion"/>
  </si>
  <si>
    <t>교무실 이벤트가 발생한다</t>
    <phoneticPr fontId="19" type="noConversion"/>
  </si>
  <si>
    <r>
      <t>1.</t>
    </r>
    <r>
      <rPr>
        <sz val="9"/>
        <color theme="1"/>
        <rFont val="맑은 고딕"/>
        <family val="2"/>
        <charset val="129"/>
      </rPr>
      <t>교무</t>
    </r>
    <r>
      <rPr>
        <sz val="9"/>
        <color theme="1"/>
        <rFont val="맑은 고딕"/>
        <family val="3"/>
        <charset val="129"/>
      </rPr>
      <t>실 안으로 들어간다</t>
    </r>
    <phoneticPr fontId="19" type="noConversion"/>
  </si>
  <si>
    <r>
      <t>1.</t>
    </r>
    <r>
      <rPr>
        <sz val="9"/>
        <color theme="1"/>
        <rFont val="맑은 고딕"/>
        <family val="2"/>
        <charset val="129"/>
      </rPr>
      <t>교무</t>
    </r>
    <r>
      <rPr>
        <sz val="9"/>
        <color theme="1"/>
        <rFont val="맑은 고딕"/>
        <family val="3"/>
        <charset val="129"/>
      </rPr>
      <t>실</t>
    </r>
    <r>
      <rPr>
        <sz val="9"/>
        <color theme="1"/>
        <rFont val="Verdana"/>
        <family val="3"/>
      </rPr>
      <t xml:space="preserve"> </t>
    </r>
    <r>
      <rPr>
        <sz val="9"/>
        <color theme="1"/>
        <rFont val="맑은 고딕"/>
        <family val="3"/>
        <charset val="129"/>
      </rPr>
      <t>이벤트를 시작한다</t>
    </r>
    <phoneticPr fontId="19" type="noConversion"/>
  </si>
  <si>
    <r>
      <t>1.</t>
    </r>
    <r>
      <rPr>
        <sz val="9"/>
        <color theme="1"/>
        <rFont val="맑은 고딕"/>
        <family val="3"/>
        <charset val="129"/>
      </rPr>
      <t>다른 플레이어가 이벤트를 시작한다 2.교무실 안으로 들어간다</t>
    </r>
    <phoneticPr fontId="19" type="noConversion"/>
  </si>
  <si>
    <t>다른 플레이어 같이 게임이 진행된다</t>
    <phoneticPr fontId="19" type="noConversion"/>
  </si>
  <si>
    <t>플레이어 두명이 준비가 되었을 때</t>
    <phoneticPr fontId="19" type="noConversion"/>
  </si>
  <si>
    <t>1.플레이어를 모은다 2.교무실로 들어간다</t>
    <phoneticPr fontId="19" type="noConversion"/>
  </si>
  <si>
    <t>둘이서만 작동된다</t>
    <phoneticPr fontId="19" type="noConversion"/>
  </si>
  <si>
    <t>도서관</t>
    <phoneticPr fontId="19" type="noConversion"/>
  </si>
  <si>
    <t>도서관 안에 진입한다</t>
    <phoneticPr fontId="19" type="noConversion"/>
  </si>
  <si>
    <t>도서관을 발견한다</t>
    <phoneticPr fontId="19" type="noConversion"/>
  </si>
  <si>
    <t>아이템</t>
    <phoneticPr fontId="19" type="noConversion"/>
  </si>
  <si>
    <t>코인</t>
    <phoneticPr fontId="19" type="noConversion"/>
  </si>
  <si>
    <t>간식이 떨어져있다</t>
    <phoneticPr fontId="19" type="noConversion"/>
  </si>
  <si>
    <t>코인이 떨어져있다</t>
    <phoneticPr fontId="19" type="noConversion"/>
  </si>
  <si>
    <r>
      <t>1</t>
    </r>
    <r>
      <rPr>
        <sz val="10"/>
        <color rgb="FF000000"/>
        <rFont val="맑은 고딕"/>
        <family val="3"/>
        <charset val="129"/>
      </rPr>
      <t>교무실에 들어간다</t>
    </r>
    <phoneticPr fontId="19" type="noConversion"/>
  </si>
  <si>
    <t>코인들이 떨어져있다</t>
    <phoneticPr fontId="19" type="noConversion"/>
  </si>
  <si>
    <r>
      <t xml:space="preserve">1 </t>
    </r>
    <r>
      <rPr>
        <sz val="9"/>
        <color theme="1"/>
        <rFont val="맑은 고딕"/>
        <family val="2"/>
        <charset val="129"/>
      </rPr>
      <t>도서관</t>
    </r>
    <r>
      <rPr>
        <sz val="9"/>
        <color theme="1"/>
        <rFont val="맑은 고딕"/>
        <family val="3"/>
        <charset val="129"/>
      </rPr>
      <t xml:space="preserve"> 안으로 들어간다</t>
    </r>
    <phoneticPr fontId="19" type="noConversion"/>
  </si>
  <si>
    <t>도서관 안에 들어갔을 때</t>
    <phoneticPr fontId="19" type="noConversion"/>
  </si>
  <si>
    <t>도서관 이벤트에 실패했을 때</t>
    <phoneticPr fontId="19" type="noConversion"/>
  </si>
  <si>
    <t>도서관 안으로 들어간다</t>
    <phoneticPr fontId="19" type="noConversion"/>
  </si>
  <si>
    <t>도서관 이벤트가 발생한다</t>
    <phoneticPr fontId="19" type="noConversion"/>
  </si>
  <si>
    <t>교무실 안에 들어갔을 때</t>
    <phoneticPr fontId="19" type="noConversion"/>
  </si>
  <si>
    <t>교무실 이벤트에 실패했을 때</t>
    <phoneticPr fontId="19" type="noConversion"/>
  </si>
  <si>
    <t>이속증가</t>
    <phoneticPr fontId="19" type="noConversion"/>
  </si>
  <si>
    <t>국어</t>
    <phoneticPr fontId="19" type="noConversion"/>
  </si>
  <si>
    <t>교장</t>
    <phoneticPr fontId="19" type="noConversion"/>
  </si>
  <si>
    <t>사서</t>
    <phoneticPr fontId="19" type="noConversion"/>
  </si>
  <si>
    <t>캐릭터가 뛸때</t>
    <phoneticPr fontId="19" type="noConversion"/>
  </si>
  <si>
    <r>
      <t>1</t>
    </r>
    <r>
      <rPr>
        <sz val="9"/>
        <color theme="1"/>
        <rFont val="맑은 고딕"/>
        <family val="2"/>
        <charset val="129"/>
      </rPr>
      <t>도서관에서 뛴다</t>
    </r>
    <phoneticPr fontId="19" type="noConversion"/>
  </si>
  <si>
    <t>npc가 일어나고 이벤트가 활성화</t>
    <phoneticPr fontId="19" type="noConversion"/>
  </si>
  <si>
    <t>학생</t>
    <phoneticPr fontId="19" type="noConversion"/>
  </si>
  <si>
    <t>일진</t>
    <phoneticPr fontId="19" type="noConversion"/>
  </si>
  <si>
    <t>ai가 인식한다</t>
    <phoneticPr fontId="19" type="noConversion"/>
  </si>
  <si>
    <t>캐릭터가 지나갈 때</t>
    <phoneticPr fontId="19" type="noConversion"/>
  </si>
  <si>
    <r>
      <t>1.ai</t>
    </r>
    <r>
      <rPr>
        <sz val="9"/>
        <color theme="1"/>
        <rFont val="맑은 고딕"/>
        <family val="3"/>
        <charset val="129"/>
      </rPr>
      <t>앞을 지나간다</t>
    </r>
    <phoneticPr fontId="19" type="noConversion"/>
  </si>
  <si>
    <t>npc인식한다</t>
    <phoneticPr fontId="19" type="noConversion"/>
  </si>
  <si>
    <t>ai쫓아온다</t>
    <phoneticPr fontId="19" type="noConversion"/>
  </si>
  <si>
    <t>캐릭터를 인식하고</t>
    <phoneticPr fontId="19" type="noConversion"/>
  </si>
  <si>
    <t>1.ai앞을 지나간다</t>
    <phoneticPr fontId="19" type="noConversion"/>
  </si>
  <si>
    <t>npc가 달려온다</t>
    <phoneticPr fontId="19" type="noConversion"/>
  </si>
  <si>
    <r>
      <t xml:space="preserve">ai </t>
    </r>
    <r>
      <rPr>
        <sz val="10"/>
        <color rgb="FF000000"/>
        <rFont val="맑은 고딕"/>
        <family val="3"/>
        <charset val="129"/>
      </rPr>
      <t>가 돌아간다</t>
    </r>
    <phoneticPr fontId="19" type="noConversion"/>
  </si>
  <si>
    <t>캐릭터를 잡고 난뒤</t>
    <phoneticPr fontId="19" type="noConversion"/>
  </si>
  <si>
    <r>
      <t>1.</t>
    </r>
    <r>
      <rPr>
        <sz val="10"/>
        <color rgb="FF000000"/>
        <rFont val="맑은 고딕"/>
        <family val="3"/>
        <charset val="129"/>
      </rPr>
      <t>캐릭터를 잡는다</t>
    </r>
    <phoneticPr fontId="19" type="noConversion"/>
  </si>
  <si>
    <t>아이템혹은 코인이 사라지고 돌아간다</t>
    <phoneticPr fontId="19" type="noConversion"/>
  </si>
  <si>
    <t>들어가짐</t>
    <phoneticPr fontId="19" type="noConversion"/>
  </si>
  <si>
    <t>배치되어있음</t>
    <phoneticPr fontId="19" type="noConversion"/>
  </si>
  <si>
    <t>적용 안됨</t>
    <phoneticPr fontId="19" type="noConversion"/>
  </si>
  <si>
    <t>보인다</t>
    <phoneticPr fontId="19" type="noConversion"/>
  </si>
  <si>
    <t>된다</t>
    <phoneticPr fontId="19" type="noConversion"/>
  </si>
  <si>
    <t>없다</t>
    <phoneticPr fontId="19" type="noConversion"/>
  </si>
  <si>
    <t>안된다</t>
    <phoneticPr fontId="19" type="noConversion"/>
  </si>
  <si>
    <t>있다</t>
    <phoneticPr fontId="19" type="noConversion"/>
  </si>
  <si>
    <t>이속증가</t>
    <phoneticPr fontId="19" type="noConversion"/>
  </si>
  <si>
    <t>느려짐</t>
    <phoneticPr fontId="19" type="noConversion"/>
  </si>
  <si>
    <t>시작됨</t>
    <phoneticPr fontId="19" type="noConversion"/>
  </si>
  <si>
    <t>플레이가 끊겨버림</t>
    <phoneticPr fontId="19" type="noConversion"/>
  </si>
  <si>
    <t>그림이 바뀐다</t>
    <phoneticPr fontId="19" type="noConversion"/>
  </si>
  <si>
    <t>들어가진다</t>
    <phoneticPr fontId="19" type="noConversion"/>
  </si>
  <si>
    <t>작동함</t>
    <phoneticPr fontId="19" type="noConversion"/>
  </si>
  <si>
    <t>뺏기고 돌아감</t>
    <phoneticPr fontId="19" type="noConversion"/>
  </si>
  <si>
    <t>달려온다</t>
    <phoneticPr fontId="19" type="noConversion"/>
  </si>
  <si>
    <t>인식함</t>
    <phoneticPr fontId="19" type="noConversion"/>
  </si>
  <si>
    <t>쫓아옴</t>
    <phoneticPr fontId="19" type="noConversion"/>
  </si>
  <si>
    <t>작동한다</t>
    <phoneticPr fontId="19" type="noConversion"/>
  </si>
  <si>
    <t>쫓아온다</t>
    <phoneticPr fontId="19" type="noConversion"/>
  </si>
  <si>
    <t>인식할 수 있다</t>
    <phoneticPr fontId="19" type="noConversion"/>
  </si>
  <si>
    <t>사라지고 아이템을 떨어뜨림</t>
    <phoneticPr fontId="19" type="noConversion"/>
  </si>
  <si>
    <t>줄어듬</t>
    <phoneticPr fontId="19" type="noConversion"/>
  </si>
  <si>
    <t>늘어난다</t>
    <phoneticPr fontId="19" type="noConversion"/>
  </si>
  <si>
    <t>나온다</t>
    <phoneticPr fontId="19" type="noConversion"/>
  </si>
  <si>
    <t>장착된다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</si>
</sst>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ptos Narrow"/>
      <scheme val="minor"/>
    </font>
    <font>
      <b/>
      <sz val="9"/>
      <color theme="1"/>
      <name val="Verdana"/>
    </font>
    <font>
      <b/>
      <sz val="9"/>
      <color theme="1"/>
      <name val="Malgun Gothic"/>
      <family val="3"/>
      <charset val="129"/>
    </font>
    <font>
      <sz val="9"/>
      <color theme="1"/>
      <name val="Verdana"/>
    </font>
    <font>
      <sz val="9"/>
      <color theme="1"/>
      <name val="Malgun Gothic"/>
      <family val="3"/>
      <charset val="129"/>
    </font>
    <font>
      <sz val="10"/>
      <name val="Aptos Narrow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Arial"/>
    </font>
    <font>
      <sz val="10"/>
      <color theme="1"/>
      <name val="Arial"/>
    </font>
    <font>
      <sz val="9"/>
      <color theme="1"/>
      <name val="Dotum"/>
      <family val="3"/>
      <charset val="129"/>
    </font>
    <font>
      <b/>
      <sz val="9"/>
      <color theme="1"/>
      <name val="Gulim"/>
      <family val="3"/>
      <charset val="129"/>
    </font>
    <font>
      <b/>
      <sz val="9"/>
      <color rgb="FFFFFFFF"/>
      <name val="Gulim"/>
      <family val="3"/>
      <charset val="129"/>
    </font>
    <font>
      <sz val="9"/>
      <color theme="1"/>
      <name val="Gulim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9"/>
      <color theme="1"/>
      <name val="Verdana"/>
      <family val="2"/>
    </font>
    <font>
      <sz val="9"/>
      <color theme="1"/>
      <name val="Verdana"/>
      <family val="3"/>
    </font>
    <font>
      <sz val="10"/>
      <color rgb="FF000000"/>
      <name val="Arial"/>
      <family val="3"/>
    </font>
    <font>
      <sz val="10"/>
      <color rgb="FF000000"/>
      <name val="Arial"/>
      <family val="2"/>
    </font>
    <font>
      <sz val="10"/>
      <color rgb="FF000000"/>
      <name val="맑은 고딕"/>
      <family val="2"/>
      <charset val="129"/>
    </font>
    <font>
      <sz val="9"/>
      <color theme="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4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7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6" xfId="0" applyFont="1" applyBorder="1" applyAlignment="1">
      <alignment wrapText="1"/>
    </xf>
    <xf numFmtId="0" fontId="4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12" fillId="3" borderId="10" xfId="0" applyFont="1" applyFill="1" applyBorder="1" applyAlignment="1">
      <alignment wrapText="1"/>
    </xf>
    <xf numFmtId="0" fontId="13" fillId="4" borderId="10" xfId="0" applyFont="1" applyFill="1" applyBorder="1" applyAlignment="1">
      <alignment wrapText="1"/>
    </xf>
    <xf numFmtId="0" fontId="13" fillId="0" borderId="0" xfId="0" applyFont="1" applyAlignment="1">
      <alignment wrapText="1"/>
    </xf>
    <xf numFmtId="9" fontId="13" fillId="0" borderId="0" xfId="0" applyNumberFormat="1" applyFont="1" applyAlignment="1">
      <alignment wrapText="1"/>
    </xf>
    <xf numFmtId="9" fontId="13" fillId="5" borderId="10" xfId="0" applyNumberFormat="1" applyFont="1" applyFill="1" applyBorder="1" applyAlignment="1">
      <alignment wrapText="1"/>
    </xf>
    <xf numFmtId="0" fontId="13" fillId="5" borderId="10" xfId="0" applyFont="1" applyFill="1" applyBorder="1" applyAlignment="1">
      <alignment wrapText="1"/>
    </xf>
    <xf numFmtId="0" fontId="13" fillId="6" borderId="10" xfId="0" applyFont="1" applyFill="1" applyBorder="1" applyAlignment="1">
      <alignment wrapText="1"/>
    </xf>
    <xf numFmtId="10" fontId="13" fillId="6" borderId="10" xfId="0" applyNumberFormat="1" applyFont="1" applyFill="1" applyBorder="1" applyAlignment="1">
      <alignment wrapText="1"/>
    </xf>
    <xf numFmtId="0" fontId="18" fillId="0" borderId="0" xfId="0" applyFont="1" applyAlignment="1">
      <alignment wrapText="1"/>
    </xf>
    <xf numFmtId="0" fontId="20" fillId="0" borderId="3" xfId="0" applyFont="1" applyBorder="1" applyAlignment="1">
      <alignment horizontal="left" wrapText="1"/>
    </xf>
    <xf numFmtId="0" fontId="17" fillId="0" borderId="0" xfId="0" applyFont="1" applyAlignment="1">
      <alignment wrapText="1"/>
    </xf>
    <xf numFmtId="0" fontId="14" fillId="0" borderId="3" xfId="0" applyFont="1" applyBorder="1" applyAlignment="1">
      <alignment horizontal="left" wrapText="1"/>
    </xf>
    <xf numFmtId="0" fontId="23" fillId="0" borderId="0" xfId="0" applyFont="1" applyAlignment="1">
      <alignment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</cellXfs>
  <cellStyles count="1">
    <cellStyle name="표준" xfId="0" builtinId="0"/>
  </cellStyles>
  <dxfs count="240"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3"/>
  <sheetViews>
    <sheetView zoomScale="85" zoomScaleNormal="85" workbookViewId="0">
      <pane ySplit="1" topLeftCell="A2" activePane="bottomLeft" state="frozen"/>
      <selection pane="bottomLeft" activeCell="E46" sqref="E46"/>
    </sheetView>
  </sheetViews>
  <sheetFormatPr defaultColWidth="14.42578125" defaultRowHeight="15" customHeight="1"/>
  <cols>
    <col min="1" max="1" width="2.85546875" customWidth="1"/>
    <col min="2" max="3" width="12.5703125" customWidth="1"/>
    <col min="4" max="4" width="19.42578125" customWidth="1"/>
    <col min="5" max="5" width="70.7109375" customWidth="1"/>
    <col min="6" max="6" width="26" customWidth="1"/>
    <col min="7" max="7" width="39.42578125" customWidth="1"/>
    <col min="8" max="8" width="25.140625" customWidth="1"/>
    <col min="9" max="9" width="5.140625" customWidth="1"/>
    <col min="10" max="10" width="18.85546875" customWidth="1"/>
    <col min="11" max="11" width="12.5703125" customWidth="1"/>
    <col min="12" max="12" width="15.140625" customWidth="1"/>
    <col min="13" max="26" width="12.5703125" customWidth="1"/>
  </cols>
  <sheetData>
    <row r="1" spans="1:12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spans="1:12" ht="12.75" customHeight="1">
      <c r="A2" s="4">
        <f>ROW()-2</f>
        <v>0</v>
      </c>
      <c r="B2" s="62" t="s">
        <v>12</v>
      </c>
      <c r="C2" s="5" t="s">
        <v>13</v>
      </c>
      <c r="D2" s="4" t="s">
        <v>12</v>
      </c>
      <c r="E2" s="6" t="s">
        <v>14</v>
      </c>
      <c r="F2" s="7"/>
      <c r="G2" s="7" t="s">
        <v>15</v>
      </c>
      <c r="H2" s="8" t="s">
        <v>16</v>
      </c>
      <c r="I2" s="4" t="s">
        <v>17</v>
      </c>
      <c r="J2" s="8" t="s">
        <v>18</v>
      </c>
      <c r="K2" s="7" t="s">
        <v>19</v>
      </c>
      <c r="L2" s="9" t="str">
        <f>IF(B2="",L1,B2)</f>
        <v>게임실행</v>
      </c>
    </row>
    <row r="3" spans="1:12" ht="12.75" customHeight="1">
      <c r="A3" s="4"/>
      <c r="B3" s="59"/>
      <c r="C3" s="10" t="s">
        <v>13</v>
      </c>
      <c r="D3" s="10" t="s">
        <v>20</v>
      </c>
      <c r="E3" s="11" t="s">
        <v>21</v>
      </c>
      <c r="F3" s="8" t="s">
        <v>22</v>
      </c>
      <c r="G3" s="7" t="s">
        <v>23</v>
      </c>
      <c r="H3" s="8" t="s">
        <v>24</v>
      </c>
      <c r="I3" s="4" t="s">
        <v>25</v>
      </c>
      <c r="J3" s="8" t="s">
        <v>26</v>
      </c>
      <c r="K3" s="12" t="s">
        <v>27</v>
      </c>
      <c r="L3" s="9"/>
    </row>
    <row r="4" spans="1:12" ht="12.75" customHeight="1">
      <c r="A4" s="4"/>
      <c r="B4" s="59"/>
      <c r="C4" s="62" t="s">
        <v>28</v>
      </c>
      <c r="D4" s="62" t="s">
        <v>29</v>
      </c>
      <c r="E4" s="13" t="s">
        <v>30</v>
      </c>
      <c r="F4" s="14" t="s">
        <v>31</v>
      </c>
      <c r="G4" s="14" t="s">
        <v>32</v>
      </c>
      <c r="H4" s="15" t="s">
        <v>33</v>
      </c>
      <c r="I4" s="4" t="s">
        <v>34</v>
      </c>
      <c r="J4" s="8" t="s">
        <v>26</v>
      </c>
      <c r="K4" s="8" t="s">
        <v>35</v>
      </c>
      <c r="L4" s="9" t="str">
        <f>IF(B5="",L2,B5)</f>
        <v>게임실행</v>
      </c>
    </row>
    <row r="5" spans="1:12" ht="12.75" customHeight="1">
      <c r="A5" s="4">
        <f t="shared" ref="A5:A7" si="0">ROW()-2</f>
        <v>3</v>
      </c>
      <c r="B5" s="59"/>
      <c r="C5" s="59"/>
      <c r="D5" s="61"/>
      <c r="E5" s="13" t="s">
        <v>36</v>
      </c>
      <c r="F5" s="14" t="s">
        <v>37</v>
      </c>
      <c r="G5" s="14" t="s">
        <v>32</v>
      </c>
      <c r="H5" s="15" t="s">
        <v>38</v>
      </c>
      <c r="I5" s="4" t="s">
        <v>34</v>
      </c>
      <c r="J5" s="15" t="s">
        <v>26</v>
      </c>
      <c r="K5" s="15" t="s">
        <v>39</v>
      </c>
      <c r="L5" s="9" t="str">
        <f t="shared" ref="L5:L6" si="1">IF(B6="",L4,B6)</f>
        <v>게임실행</v>
      </c>
    </row>
    <row r="6" spans="1:12" ht="12.75" customHeight="1">
      <c r="A6" s="4">
        <f t="shared" si="0"/>
        <v>4</v>
      </c>
      <c r="B6" s="59"/>
      <c r="C6" s="59"/>
      <c r="D6" s="62" t="s">
        <v>40</v>
      </c>
      <c r="E6" s="13" t="s">
        <v>41</v>
      </c>
      <c r="F6" s="14" t="s">
        <v>42</v>
      </c>
      <c r="G6" s="14" t="s">
        <v>43</v>
      </c>
      <c r="H6" s="14" t="s">
        <v>44</v>
      </c>
      <c r="I6" s="4" t="s">
        <v>45</v>
      </c>
      <c r="J6" s="15" t="s">
        <v>46</v>
      </c>
      <c r="K6" s="15" t="s">
        <v>47</v>
      </c>
      <c r="L6" s="9" t="str">
        <f t="shared" si="1"/>
        <v>게임실행</v>
      </c>
    </row>
    <row r="7" spans="1:12" ht="12.75" customHeight="1">
      <c r="A7" s="4">
        <f t="shared" si="0"/>
        <v>5</v>
      </c>
      <c r="B7" s="59"/>
      <c r="C7" s="59"/>
      <c r="D7" s="61"/>
      <c r="E7" s="13" t="s">
        <v>48</v>
      </c>
      <c r="F7" s="14" t="s">
        <v>49</v>
      </c>
      <c r="G7" s="14" t="s">
        <v>50</v>
      </c>
      <c r="H7" s="14" t="s">
        <v>51</v>
      </c>
      <c r="I7" s="4" t="s">
        <v>17</v>
      </c>
      <c r="J7" s="15" t="s">
        <v>53</v>
      </c>
      <c r="K7" s="15" t="s">
        <v>47</v>
      </c>
      <c r="L7" s="9" t="str">
        <f>IF(B9="",L6,B9)</f>
        <v>게임실행</v>
      </c>
    </row>
    <row r="8" spans="1:12" ht="12.75" customHeight="1">
      <c r="A8" s="4"/>
      <c r="B8" s="59"/>
      <c r="C8" s="59"/>
      <c r="D8" s="16" t="s">
        <v>54</v>
      </c>
      <c r="E8" s="13" t="s">
        <v>55</v>
      </c>
      <c r="F8" s="14"/>
      <c r="G8" s="14" t="s">
        <v>56</v>
      </c>
      <c r="H8" s="14" t="s">
        <v>51</v>
      </c>
      <c r="I8" s="4" t="s">
        <v>17</v>
      </c>
      <c r="J8" s="15" t="s">
        <v>57</v>
      </c>
      <c r="K8" s="15" t="s">
        <v>47</v>
      </c>
      <c r="L8" s="9"/>
    </row>
    <row r="9" spans="1:12" ht="12.75" customHeight="1">
      <c r="A9" s="4">
        <f t="shared" ref="A9:A19" si="2">ROW()-2</f>
        <v>7</v>
      </c>
      <c r="B9" s="59"/>
      <c r="C9" s="61"/>
      <c r="D9" s="4" t="s">
        <v>58</v>
      </c>
      <c r="E9" s="13" t="s">
        <v>59</v>
      </c>
      <c r="F9" s="14"/>
      <c r="G9" s="17" t="s">
        <v>60</v>
      </c>
      <c r="H9" s="14" t="s">
        <v>51</v>
      </c>
      <c r="I9" s="4" t="s">
        <v>17</v>
      </c>
      <c r="J9" s="15" t="s">
        <v>38</v>
      </c>
      <c r="K9" s="15" t="s">
        <v>47</v>
      </c>
      <c r="L9" s="9" t="str">
        <f>IF(B10="",L7,B10)</f>
        <v>게임실행</v>
      </c>
    </row>
    <row r="10" spans="1:12" ht="12.75" customHeight="1">
      <c r="A10" s="4">
        <f t="shared" si="2"/>
        <v>8</v>
      </c>
      <c r="B10" s="61"/>
      <c r="C10" s="18"/>
      <c r="D10" s="5" t="s">
        <v>61</v>
      </c>
      <c r="E10" s="19" t="s">
        <v>62</v>
      </c>
      <c r="F10" s="14"/>
      <c r="G10" s="14" t="s">
        <v>63</v>
      </c>
      <c r="H10" s="15" t="s">
        <v>64</v>
      </c>
      <c r="I10" s="4" t="s">
        <v>17</v>
      </c>
      <c r="J10" s="15" t="s">
        <v>65</v>
      </c>
      <c r="K10" s="15" t="s">
        <v>47</v>
      </c>
      <c r="L10" s="9" t="str">
        <f t="shared" ref="L10:L13" si="3">IF(B11="",L9,B11)</f>
        <v>메뉴기능</v>
      </c>
    </row>
    <row r="11" spans="1:12" ht="12.75" customHeight="1">
      <c r="A11" s="4">
        <f t="shared" si="2"/>
        <v>9</v>
      </c>
      <c r="B11" s="48" t="s">
        <v>66</v>
      </c>
      <c r="C11" s="48" t="s">
        <v>67</v>
      </c>
      <c r="D11" s="5" t="s">
        <v>68</v>
      </c>
      <c r="E11" s="19" t="s">
        <v>69</v>
      </c>
      <c r="F11" s="15" t="s">
        <v>70</v>
      </c>
      <c r="G11" s="14" t="s">
        <v>71</v>
      </c>
      <c r="H11" s="14" t="s">
        <v>72</v>
      </c>
      <c r="I11" s="4" t="s">
        <v>17</v>
      </c>
      <c r="J11" s="15" t="s">
        <v>73</v>
      </c>
      <c r="K11" s="15" t="s">
        <v>47</v>
      </c>
      <c r="L11" s="9" t="str">
        <f t="shared" si="3"/>
        <v>메뉴기능</v>
      </c>
    </row>
    <row r="12" spans="1:12" ht="12.75" customHeight="1">
      <c r="A12" s="4">
        <f t="shared" si="2"/>
        <v>10</v>
      </c>
      <c r="B12" s="59"/>
      <c r="C12" s="59"/>
      <c r="D12" s="5" t="s">
        <v>74</v>
      </c>
      <c r="E12" s="13" t="s">
        <v>75</v>
      </c>
      <c r="F12" s="15" t="s">
        <v>76</v>
      </c>
      <c r="G12" s="14" t="s">
        <v>77</v>
      </c>
      <c r="H12" s="15" t="s">
        <v>78</v>
      </c>
      <c r="I12" s="4" t="s">
        <v>17</v>
      </c>
      <c r="J12" s="15" t="s">
        <v>79</v>
      </c>
      <c r="K12" s="15" t="s">
        <v>47</v>
      </c>
      <c r="L12" s="9" t="str">
        <f t="shared" si="3"/>
        <v>메뉴기능</v>
      </c>
    </row>
    <row r="13" spans="1:12" ht="12.75" customHeight="1">
      <c r="A13" s="4">
        <f t="shared" si="2"/>
        <v>11</v>
      </c>
      <c r="B13" s="59"/>
      <c r="C13" s="59"/>
      <c r="D13" s="5" t="s">
        <v>80</v>
      </c>
      <c r="E13" s="19" t="s">
        <v>81</v>
      </c>
      <c r="F13" s="14"/>
      <c r="G13" s="14" t="s">
        <v>82</v>
      </c>
      <c r="H13" s="15" t="s">
        <v>83</v>
      </c>
      <c r="I13" s="4" t="s">
        <v>52</v>
      </c>
      <c r="J13" s="15" t="s">
        <v>84</v>
      </c>
      <c r="K13" s="15" t="s">
        <v>85</v>
      </c>
      <c r="L13" s="9" t="str">
        <f t="shared" si="3"/>
        <v>메뉴기능</v>
      </c>
    </row>
    <row r="14" spans="1:12" ht="12.75" customHeight="1">
      <c r="A14" s="4">
        <f t="shared" si="2"/>
        <v>12</v>
      </c>
      <c r="B14" s="59"/>
      <c r="C14" s="59"/>
      <c r="D14" s="5" t="s">
        <v>86</v>
      </c>
      <c r="E14" s="19" t="s">
        <v>87</v>
      </c>
      <c r="F14" s="15" t="s">
        <v>88</v>
      </c>
      <c r="G14" s="14" t="s">
        <v>89</v>
      </c>
      <c r="H14" s="15" t="s">
        <v>90</v>
      </c>
      <c r="I14" s="4" t="s">
        <v>17</v>
      </c>
      <c r="J14" s="15" t="s">
        <v>91</v>
      </c>
      <c r="K14" s="15" t="s">
        <v>27</v>
      </c>
      <c r="L14" s="9" t="e">
        <f>IF(#REF!="",L13,#REF!)</f>
        <v>#REF!</v>
      </c>
    </row>
    <row r="15" spans="1:12" ht="12.75" customHeight="1">
      <c r="A15" s="4">
        <f t="shared" si="2"/>
        <v>13</v>
      </c>
      <c r="B15" s="62" t="s">
        <v>92</v>
      </c>
      <c r="C15" s="63" t="s">
        <v>93</v>
      </c>
      <c r="D15" s="10" t="s">
        <v>94</v>
      </c>
      <c r="E15" s="19" t="s">
        <v>95</v>
      </c>
      <c r="F15" s="15" t="s">
        <v>96</v>
      </c>
      <c r="G15" s="14"/>
      <c r="H15" s="15" t="s">
        <v>97</v>
      </c>
      <c r="I15" s="4" t="s">
        <v>17</v>
      </c>
      <c r="J15" s="15" t="s">
        <v>97</v>
      </c>
      <c r="K15" s="15" t="s">
        <v>47</v>
      </c>
      <c r="L15" s="9" t="e">
        <f>IF(B16="",#REF!,B16)</f>
        <v>#REF!</v>
      </c>
    </row>
    <row r="16" spans="1:12" ht="12.75" customHeight="1">
      <c r="A16" s="4">
        <f t="shared" si="2"/>
        <v>14</v>
      </c>
      <c r="B16" s="59"/>
      <c r="C16" s="59"/>
      <c r="D16" s="49" t="s">
        <v>98</v>
      </c>
      <c r="E16" s="19" t="s">
        <v>99</v>
      </c>
      <c r="F16" s="14" t="s">
        <v>42</v>
      </c>
      <c r="G16" s="15" t="s">
        <v>100</v>
      </c>
      <c r="H16" s="15" t="s">
        <v>101</v>
      </c>
      <c r="I16" s="4" t="s">
        <v>17</v>
      </c>
      <c r="J16" s="14" t="s">
        <v>102</v>
      </c>
      <c r="K16" s="15" t="s">
        <v>47</v>
      </c>
      <c r="L16" s="9" t="e">
        <f t="shared" ref="L16:L18" si="4">IF(B17="",L15,B17)</f>
        <v>#REF!</v>
      </c>
    </row>
    <row r="17" spans="1:12" ht="12.75" customHeight="1">
      <c r="A17" s="4">
        <f t="shared" si="2"/>
        <v>15</v>
      </c>
      <c r="B17" s="59"/>
      <c r="C17" s="59"/>
      <c r="D17" s="59"/>
      <c r="E17" s="19" t="s">
        <v>103</v>
      </c>
      <c r="F17" s="14" t="s">
        <v>49</v>
      </c>
      <c r="G17" s="14" t="s">
        <v>104</v>
      </c>
      <c r="H17" s="15" t="s">
        <v>105</v>
      </c>
      <c r="I17" s="4" t="s">
        <v>17</v>
      </c>
      <c r="J17" s="15" t="s">
        <v>106</v>
      </c>
      <c r="K17" s="15" t="s">
        <v>47</v>
      </c>
      <c r="L17" s="9" t="e">
        <f t="shared" si="4"/>
        <v>#REF!</v>
      </c>
    </row>
    <row r="18" spans="1:12" ht="12.75" customHeight="1">
      <c r="A18" s="4">
        <f t="shared" si="2"/>
        <v>16</v>
      </c>
      <c r="B18" s="59"/>
      <c r="C18" s="59"/>
      <c r="D18" s="49" t="s">
        <v>107</v>
      </c>
      <c r="E18" s="19" t="s">
        <v>108</v>
      </c>
      <c r="F18" s="14"/>
      <c r="G18" s="14" t="s">
        <v>109</v>
      </c>
      <c r="H18" s="15" t="s">
        <v>110</v>
      </c>
      <c r="I18" s="4" t="s">
        <v>17</v>
      </c>
      <c r="J18" s="15" t="s">
        <v>110</v>
      </c>
      <c r="K18" s="15" t="s">
        <v>47</v>
      </c>
      <c r="L18" s="9" t="e">
        <f t="shared" si="4"/>
        <v>#REF!</v>
      </c>
    </row>
    <row r="19" spans="1:12" ht="12.75" customHeight="1">
      <c r="A19" s="4">
        <f t="shared" si="2"/>
        <v>17</v>
      </c>
      <c r="B19" s="59"/>
      <c r="C19" s="59"/>
      <c r="D19" s="59"/>
      <c r="E19" s="19" t="s">
        <v>111</v>
      </c>
      <c r="F19" s="14"/>
      <c r="G19" s="14" t="s">
        <v>112</v>
      </c>
      <c r="H19" s="15" t="s">
        <v>110</v>
      </c>
      <c r="I19" s="4" t="s">
        <v>45</v>
      </c>
      <c r="J19" s="15" t="s">
        <v>113</v>
      </c>
      <c r="K19" s="15" t="s">
        <v>114</v>
      </c>
      <c r="L19" s="9" t="e">
        <f>IF(B21="",L18,B21)</f>
        <v>#REF!</v>
      </c>
    </row>
    <row r="20" spans="1:12" ht="12.75" customHeight="1">
      <c r="A20" s="4"/>
      <c r="B20" s="59"/>
      <c r="C20" s="59"/>
      <c r="D20" s="49" t="s">
        <v>115</v>
      </c>
      <c r="E20" s="19" t="s">
        <v>116</v>
      </c>
      <c r="F20" s="14"/>
      <c r="G20" s="14" t="s">
        <v>117</v>
      </c>
      <c r="H20" s="14" t="s">
        <v>118</v>
      </c>
      <c r="I20" s="4" t="s">
        <v>17</v>
      </c>
      <c r="J20" s="14" t="s">
        <v>119</v>
      </c>
      <c r="K20" s="15" t="s">
        <v>47</v>
      </c>
      <c r="L20" s="9"/>
    </row>
    <row r="21" spans="1:12" ht="12.75" customHeight="1">
      <c r="A21" s="4">
        <f t="shared" ref="A21:A30" si="5">ROW()-2</f>
        <v>19</v>
      </c>
      <c r="B21" s="59"/>
      <c r="C21" s="59"/>
      <c r="D21" s="59"/>
      <c r="E21" s="19" t="s">
        <v>120</v>
      </c>
      <c r="F21" s="15"/>
      <c r="G21" s="17" t="s">
        <v>121</v>
      </c>
      <c r="H21" s="14" t="s">
        <v>122</v>
      </c>
      <c r="I21" s="4" t="s">
        <v>17</v>
      </c>
      <c r="J21" s="15" t="s">
        <v>123</v>
      </c>
      <c r="K21" s="15" t="s">
        <v>47</v>
      </c>
      <c r="L21" s="9" t="e">
        <f>IF(B22="",L19,B22)</f>
        <v>#REF!</v>
      </c>
    </row>
    <row r="22" spans="1:12" ht="12.75" customHeight="1">
      <c r="A22" s="4">
        <f t="shared" si="5"/>
        <v>20</v>
      </c>
      <c r="B22" s="59"/>
      <c r="C22" s="59"/>
      <c r="D22" s="49" t="s">
        <v>124</v>
      </c>
      <c r="E22" s="19" t="s">
        <v>125</v>
      </c>
      <c r="F22" s="22" t="s">
        <v>126</v>
      </c>
      <c r="G22" s="14" t="s">
        <v>127</v>
      </c>
      <c r="H22" s="15" t="s">
        <v>128</v>
      </c>
      <c r="I22" s="4" t="s">
        <v>45</v>
      </c>
      <c r="J22" s="15" t="s">
        <v>129</v>
      </c>
      <c r="K22" s="15" t="s">
        <v>114</v>
      </c>
      <c r="L22" s="9" t="e">
        <f t="shared" ref="L22:L24" si="6">IF(B23="",L21,B23)</f>
        <v>#REF!</v>
      </c>
    </row>
    <row r="23" spans="1:12" ht="12.75" customHeight="1">
      <c r="A23" s="4">
        <f t="shared" si="5"/>
        <v>21</v>
      </c>
      <c r="B23" s="59"/>
      <c r="C23" s="59"/>
      <c r="D23" s="59"/>
      <c r="E23" s="19" t="s">
        <v>130</v>
      </c>
      <c r="F23" s="14"/>
      <c r="G23" s="14" t="s">
        <v>131</v>
      </c>
      <c r="H23" s="15" t="s">
        <v>132</v>
      </c>
      <c r="I23" s="4" t="s">
        <v>34</v>
      </c>
      <c r="J23" s="15" t="s">
        <v>133</v>
      </c>
      <c r="K23" s="15" t="s">
        <v>114</v>
      </c>
      <c r="L23" s="9" t="e">
        <f t="shared" si="6"/>
        <v>#REF!</v>
      </c>
    </row>
    <row r="24" spans="1:12" ht="12.75" customHeight="1">
      <c r="A24" s="4">
        <f t="shared" si="5"/>
        <v>22</v>
      </c>
      <c r="B24" s="59"/>
      <c r="C24" s="59"/>
      <c r="D24" s="49" t="s">
        <v>134</v>
      </c>
      <c r="E24" s="19" t="s">
        <v>135</v>
      </c>
      <c r="F24" s="14"/>
      <c r="G24" s="14" t="s">
        <v>136</v>
      </c>
      <c r="H24" s="14" t="s">
        <v>137</v>
      </c>
      <c r="I24" s="4" t="s">
        <v>45</v>
      </c>
      <c r="J24" s="15" t="s">
        <v>138</v>
      </c>
      <c r="K24" s="15" t="s">
        <v>114</v>
      </c>
      <c r="L24" s="9" t="e">
        <f t="shared" si="6"/>
        <v>#REF!</v>
      </c>
    </row>
    <row r="25" spans="1:12" ht="12.75" customHeight="1">
      <c r="A25" s="4">
        <f t="shared" si="5"/>
        <v>23</v>
      </c>
      <c r="B25" s="59"/>
      <c r="C25" s="59"/>
      <c r="D25" s="59"/>
      <c r="E25" s="19" t="s">
        <v>139</v>
      </c>
      <c r="F25" s="14"/>
      <c r="G25" s="14" t="s">
        <v>140</v>
      </c>
      <c r="H25" s="14" t="s">
        <v>141</v>
      </c>
      <c r="I25" s="4" t="s">
        <v>45</v>
      </c>
      <c r="J25" s="15" t="s">
        <v>138</v>
      </c>
      <c r="K25" s="15" t="s">
        <v>114</v>
      </c>
      <c r="L25" s="9" t="e">
        <f>IF(#REF!="",L24,#REF!)</f>
        <v>#REF!</v>
      </c>
    </row>
    <row r="26" spans="1:12" ht="12.75" customHeight="1">
      <c r="A26" s="4">
        <f t="shared" si="5"/>
        <v>24</v>
      </c>
      <c r="B26" s="59"/>
      <c r="C26" s="59"/>
      <c r="D26" s="21" t="s">
        <v>142</v>
      </c>
      <c r="E26" s="19" t="s">
        <v>143</v>
      </c>
      <c r="F26" s="14"/>
      <c r="G26" s="12" t="s">
        <v>144</v>
      </c>
      <c r="H26" s="15" t="s">
        <v>145</v>
      </c>
      <c r="I26" s="4" t="s">
        <v>17</v>
      </c>
      <c r="J26" s="15" t="s">
        <v>146</v>
      </c>
      <c r="K26" s="15" t="s">
        <v>47</v>
      </c>
      <c r="L26" s="9" t="e">
        <f>IF(B27="",#REF!,B27)</f>
        <v>#REF!</v>
      </c>
    </row>
    <row r="27" spans="1:12" ht="12.75" customHeight="1">
      <c r="A27" s="4">
        <f t="shared" si="5"/>
        <v>25</v>
      </c>
      <c r="B27" s="59"/>
      <c r="C27" s="59"/>
      <c r="D27" s="21" t="s">
        <v>147</v>
      </c>
      <c r="E27" s="19" t="s">
        <v>148</v>
      </c>
      <c r="F27" s="14"/>
      <c r="G27" s="15" t="s">
        <v>149</v>
      </c>
      <c r="H27" s="15" t="s">
        <v>38</v>
      </c>
      <c r="I27" s="4" t="s">
        <v>17</v>
      </c>
      <c r="J27" s="15" t="s">
        <v>38</v>
      </c>
      <c r="K27" s="15" t="s">
        <v>114</v>
      </c>
      <c r="L27" s="9" t="e">
        <f t="shared" ref="L27:L28" si="7">IF(B28="",L26,B28)</f>
        <v>#REF!</v>
      </c>
    </row>
    <row r="28" spans="1:12" ht="12.75" customHeight="1">
      <c r="A28" s="4">
        <f t="shared" si="5"/>
        <v>26</v>
      </c>
      <c r="B28" s="59"/>
      <c r="C28" s="59"/>
      <c r="D28" s="60" t="s">
        <v>150</v>
      </c>
      <c r="E28" s="13" t="s">
        <v>151</v>
      </c>
      <c r="F28" s="14"/>
      <c r="G28" s="14" t="s">
        <v>152</v>
      </c>
      <c r="H28" s="15" t="s">
        <v>153</v>
      </c>
      <c r="I28" s="4" t="s">
        <v>17</v>
      </c>
      <c r="J28" s="14" t="s">
        <v>154</v>
      </c>
      <c r="K28" s="15" t="s">
        <v>47</v>
      </c>
      <c r="L28" s="9" t="e">
        <f t="shared" si="7"/>
        <v>#REF!</v>
      </c>
    </row>
    <row r="29" spans="1:12" ht="12.75" customHeight="1">
      <c r="A29" s="4">
        <f t="shared" si="5"/>
        <v>27</v>
      </c>
      <c r="B29" s="59"/>
      <c r="C29" s="59"/>
      <c r="D29" s="59"/>
      <c r="E29" s="17" t="s">
        <v>155</v>
      </c>
      <c r="G29" s="14" t="s">
        <v>156</v>
      </c>
      <c r="H29" s="14" t="s">
        <v>157</v>
      </c>
      <c r="I29" s="4" t="s">
        <v>17</v>
      </c>
      <c r="J29" s="17" t="s">
        <v>158</v>
      </c>
      <c r="K29" s="12" t="s">
        <v>47</v>
      </c>
    </row>
    <row r="30" spans="1:12" ht="12.75" customHeight="1">
      <c r="A30" s="4">
        <f t="shared" si="5"/>
        <v>28</v>
      </c>
      <c r="B30" s="59"/>
      <c r="C30" s="61"/>
      <c r="D30" s="61"/>
      <c r="E30" s="13" t="s">
        <v>159</v>
      </c>
      <c r="G30" s="17" t="s">
        <v>160</v>
      </c>
      <c r="H30" s="12" t="s">
        <v>161</v>
      </c>
      <c r="I30" s="4" t="s">
        <v>45</v>
      </c>
      <c r="J30" s="15" t="s">
        <v>162</v>
      </c>
      <c r="K30" s="15" t="s">
        <v>114</v>
      </c>
      <c r="L30" s="9">
        <f>IF(B30="",L29,B30)</f>
        <v>0</v>
      </c>
    </row>
    <row r="31" spans="1:12" ht="12.75" customHeight="1">
      <c r="A31" s="4"/>
      <c r="B31" s="59"/>
      <c r="C31" s="20"/>
      <c r="D31" s="23"/>
      <c r="E31" s="19" t="s">
        <v>163</v>
      </c>
      <c r="F31" s="14" t="s">
        <v>164</v>
      </c>
      <c r="G31" s="14" t="s">
        <v>165</v>
      </c>
      <c r="H31" s="15" t="s">
        <v>166</v>
      </c>
      <c r="I31" s="4" t="s">
        <v>17</v>
      </c>
      <c r="J31" s="15" t="s">
        <v>167</v>
      </c>
      <c r="K31" s="15" t="s">
        <v>47</v>
      </c>
      <c r="L31" s="9"/>
    </row>
    <row r="32" spans="1:12" ht="12.75" customHeight="1">
      <c r="A32" s="4"/>
      <c r="B32" s="59"/>
      <c r="C32" s="20"/>
      <c r="D32" s="21" t="s">
        <v>168</v>
      </c>
      <c r="E32" s="19" t="s">
        <v>169</v>
      </c>
      <c r="F32" s="14" t="s">
        <v>170</v>
      </c>
      <c r="G32" s="14" t="s">
        <v>171</v>
      </c>
      <c r="H32" s="15" t="s">
        <v>172</v>
      </c>
      <c r="I32" s="4" t="s">
        <v>45</v>
      </c>
      <c r="J32" s="15" t="s">
        <v>173</v>
      </c>
      <c r="K32" s="15" t="s">
        <v>114</v>
      </c>
      <c r="L32" s="9"/>
    </row>
    <row r="33" spans="1:12" ht="12.75" customHeight="1">
      <c r="A33" s="4">
        <f t="shared" ref="A33:A64" si="8">ROW()-2</f>
        <v>31</v>
      </c>
      <c r="B33" s="59"/>
      <c r="C33" s="42" t="s">
        <v>174</v>
      </c>
      <c r="D33" s="10" t="s">
        <v>94</v>
      </c>
      <c r="E33" s="19" t="s">
        <v>175</v>
      </c>
      <c r="F33" s="15" t="s">
        <v>96</v>
      </c>
      <c r="G33" s="14"/>
      <c r="H33" s="15" t="s">
        <v>97</v>
      </c>
      <c r="I33" s="4" t="s">
        <v>17</v>
      </c>
      <c r="J33" s="15" t="s">
        <v>97</v>
      </c>
      <c r="K33" s="15" t="s">
        <v>47</v>
      </c>
      <c r="L33" s="9" t="e">
        <f>IF(B34="",#REF!,B34)</f>
        <v>#REF!</v>
      </c>
    </row>
    <row r="34" spans="1:12" ht="12.75" customHeight="1">
      <c r="A34" s="4">
        <f t="shared" si="8"/>
        <v>32</v>
      </c>
      <c r="B34" s="59"/>
      <c r="C34" s="59"/>
      <c r="D34" s="49" t="s">
        <v>98</v>
      </c>
      <c r="E34" s="19" t="s">
        <v>99</v>
      </c>
      <c r="F34" s="14" t="s">
        <v>42</v>
      </c>
      <c r="G34" s="15" t="s">
        <v>100</v>
      </c>
      <c r="H34" s="15" t="s">
        <v>101</v>
      </c>
      <c r="I34" s="4" t="s">
        <v>17</v>
      </c>
      <c r="J34" s="14" t="s">
        <v>176</v>
      </c>
      <c r="K34" s="15" t="s">
        <v>47</v>
      </c>
      <c r="L34" s="9" t="e">
        <f t="shared" ref="L34:L36" si="9">IF(B35="",L33,B35)</f>
        <v>#REF!</v>
      </c>
    </row>
    <row r="35" spans="1:12" ht="12.75" customHeight="1">
      <c r="A35" s="4">
        <f t="shared" si="8"/>
        <v>33</v>
      </c>
      <c r="B35" s="59"/>
      <c r="C35" s="59"/>
      <c r="D35" s="59"/>
      <c r="E35" s="19" t="s">
        <v>103</v>
      </c>
      <c r="F35" s="14" t="s">
        <v>49</v>
      </c>
      <c r="G35" s="14" t="s">
        <v>177</v>
      </c>
      <c r="H35" s="15" t="s">
        <v>105</v>
      </c>
      <c r="I35" s="4" t="s">
        <v>17</v>
      </c>
      <c r="J35" s="15" t="s">
        <v>106</v>
      </c>
      <c r="K35" s="15" t="s">
        <v>47</v>
      </c>
      <c r="L35" s="9" t="e">
        <f t="shared" si="9"/>
        <v>#REF!</v>
      </c>
    </row>
    <row r="36" spans="1:12" ht="12.75" customHeight="1">
      <c r="A36" s="4">
        <f t="shared" si="8"/>
        <v>34</v>
      </c>
      <c r="B36" s="59"/>
      <c r="C36" s="59"/>
      <c r="D36" s="49" t="s">
        <v>107</v>
      </c>
      <c r="E36" s="19" t="s">
        <v>108</v>
      </c>
      <c r="F36" s="14"/>
      <c r="G36" s="14" t="s">
        <v>178</v>
      </c>
      <c r="H36" s="15" t="s">
        <v>110</v>
      </c>
      <c r="I36" s="4" t="s">
        <v>17</v>
      </c>
      <c r="J36" s="15" t="s">
        <v>110</v>
      </c>
      <c r="K36" s="15" t="s">
        <v>47</v>
      </c>
      <c r="L36" s="9" t="e">
        <f t="shared" si="9"/>
        <v>#REF!</v>
      </c>
    </row>
    <row r="37" spans="1:12" ht="12.75" customHeight="1">
      <c r="A37" s="4">
        <f t="shared" si="8"/>
        <v>35</v>
      </c>
      <c r="B37" s="59"/>
      <c r="C37" s="59"/>
      <c r="D37" s="59"/>
      <c r="E37" s="19" t="s">
        <v>111</v>
      </c>
      <c r="F37" s="14"/>
      <c r="G37" s="14" t="s">
        <v>179</v>
      </c>
      <c r="H37" s="15" t="s">
        <v>110</v>
      </c>
      <c r="I37" s="4" t="s">
        <v>45</v>
      </c>
      <c r="J37" s="15" t="s">
        <v>113</v>
      </c>
      <c r="K37" s="15" t="s">
        <v>114</v>
      </c>
      <c r="L37" s="9" t="e">
        <f>IF(B39="",L36,B39)</f>
        <v>#REF!</v>
      </c>
    </row>
    <row r="38" spans="1:12" ht="12.75" customHeight="1">
      <c r="A38" s="4">
        <f t="shared" si="8"/>
        <v>36</v>
      </c>
      <c r="B38" s="59"/>
      <c r="C38" s="59"/>
      <c r="D38" s="49" t="s">
        <v>115</v>
      </c>
      <c r="E38" s="19" t="s">
        <v>116</v>
      </c>
      <c r="F38" s="14"/>
      <c r="G38" s="14" t="s">
        <v>180</v>
      </c>
      <c r="H38" s="14" t="s">
        <v>181</v>
      </c>
      <c r="I38" s="4" t="s">
        <v>17</v>
      </c>
      <c r="J38" s="14" t="s">
        <v>182</v>
      </c>
      <c r="K38" s="15" t="s">
        <v>47</v>
      </c>
      <c r="L38" s="9"/>
    </row>
    <row r="39" spans="1:12" ht="12.75" customHeight="1">
      <c r="A39" s="4">
        <f t="shared" si="8"/>
        <v>37</v>
      </c>
      <c r="B39" s="59"/>
      <c r="C39" s="59"/>
      <c r="D39" s="59"/>
      <c r="E39" s="19" t="s">
        <v>120</v>
      </c>
      <c r="F39" s="15"/>
      <c r="G39" s="17" t="s">
        <v>183</v>
      </c>
      <c r="H39" s="14" t="s">
        <v>184</v>
      </c>
      <c r="I39" s="4" t="s">
        <v>17</v>
      </c>
      <c r="J39" s="15" t="s">
        <v>123</v>
      </c>
      <c r="K39" s="15" t="s">
        <v>47</v>
      </c>
      <c r="L39" s="9" t="e">
        <f>IF(B40="",L37,B40)</f>
        <v>#REF!</v>
      </c>
    </row>
    <row r="40" spans="1:12" ht="12.75" customHeight="1">
      <c r="A40" s="4">
        <f t="shared" si="8"/>
        <v>38</v>
      </c>
      <c r="B40" s="59"/>
      <c r="C40" s="59"/>
      <c r="D40" s="49" t="s">
        <v>124</v>
      </c>
      <c r="E40" s="19" t="s">
        <v>125</v>
      </c>
      <c r="F40" s="22" t="s">
        <v>185</v>
      </c>
      <c r="G40" s="14" t="s">
        <v>186</v>
      </c>
      <c r="H40" s="15" t="s">
        <v>128</v>
      </c>
      <c r="I40" s="4" t="s">
        <v>45</v>
      </c>
      <c r="J40" s="15" t="s">
        <v>129</v>
      </c>
      <c r="K40" s="15" t="s">
        <v>114</v>
      </c>
      <c r="L40" s="9" t="e">
        <f t="shared" ref="L40:L42" si="10">IF(B41="",L39,B41)</f>
        <v>#REF!</v>
      </c>
    </row>
    <row r="41" spans="1:12" ht="12.75" customHeight="1">
      <c r="A41" s="4">
        <f t="shared" si="8"/>
        <v>39</v>
      </c>
      <c r="B41" s="59"/>
      <c r="C41" s="59"/>
      <c r="D41" s="59"/>
      <c r="E41" s="19" t="s">
        <v>130</v>
      </c>
      <c r="F41" s="14"/>
      <c r="G41" s="14" t="s">
        <v>187</v>
      </c>
      <c r="H41" s="15" t="s">
        <v>132</v>
      </c>
      <c r="I41" s="4" t="s">
        <v>34</v>
      </c>
      <c r="J41" s="15" t="s">
        <v>133</v>
      </c>
      <c r="K41" s="15" t="s">
        <v>114</v>
      </c>
      <c r="L41" s="9" t="e">
        <f t="shared" si="10"/>
        <v>#REF!</v>
      </c>
    </row>
    <row r="42" spans="1:12" ht="12.75" customHeight="1">
      <c r="A42" s="4">
        <f t="shared" si="8"/>
        <v>40</v>
      </c>
      <c r="B42" s="59"/>
      <c r="C42" s="59"/>
      <c r="D42" s="49" t="s">
        <v>134</v>
      </c>
      <c r="E42" s="19" t="s">
        <v>135</v>
      </c>
      <c r="F42" s="14"/>
      <c r="G42" s="14" t="s">
        <v>188</v>
      </c>
      <c r="H42" s="14" t="s">
        <v>189</v>
      </c>
      <c r="I42" s="4" t="s">
        <v>45</v>
      </c>
      <c r="J42" s="15" t="s">
        <v>138</v>
      </c>
      <c r="K42" s="15" t="s">
        <v>114</v>
      </c>
      <c r="L42" s="9" t="e">
        <f t="shared" si="10"/>
        <v>#REF!</v>
      </c>
    </row>
    <row r="43" spans="1:12" ht="12.75" customHeight="1">
      <c r="A43" s="4">
        <f t="shared" si="8"/>
        <v>41</v>
      </c>
      <c r="B43" s="59"/>
      <c r="C43" s="59"/>
      <c r="D43" s="59"/>
      <c r="E43" s="19" t="s">
        <v>139</v>
      </c>
      <c r="F43" s="14"/>
      <c r="G43" s="14" t="s">
        <v>190</v>
      </c>
      <c r="H43" s="14" t="s">
        <v>191</v>
      </c>
      <c r="I43" s="4" t="s">
        <v>45</v>
      </c>
      <c r="J43" s="15" t="s">
        <v>138</v>
      </c>
      <c r="K43" s="15" t="s">
        <v>114</v>
      </c>
      <c r="L43" s="9" t="e">
        <f>IF(#REF!="",L42,#REF!)</f>
        <v>#REF!</v>
      </c>
    </row>
    <row r="44" spans="1:12" ht="12.75" customHeight="1">
      <c r="A44" s="4">
        <f t="shared" si="8"/>
        <v>42</v>
      </c>
      <c r="B44" s="59"/>
      <c r="C44" s="59"/>
      <c r="D44" s="21" t="s">
        <v>142</v>
      </c>
      <c r="E44" s="19" t="s">
        <v>143</v>
      </c>
      <c r="F44" s="15" t="s">
        <v>192</v>
      </c>
      <c r="G44" s="12" t="s">
        <v>144</v>
      </c>
      <c r="H44" s="15" t="s">
        <v>145</v>
      </c>
      <c r="I44" s="4" t="s">
        <v>17</v>
      </c>
      <c r="J44" s="15" t="s">
        <v>146</v>
      </c>
      <c r="K44" s="15" t="s">
        <v>47</v>
      </c>
      <c r="L44" s="9" t="e">
        <f>IF(B45="",#REF!,B45)</f>
        <v>#REF!</v>
      </c>
    </row>
    <row r="45" spans="1:12" ht="12.75" customHeight="1">
      <c r="A45" s="4">
        <f t="shared" si="8"/>
        <v>43</v>
      </c>
      <c r="B45" s="59"/>
      <c r="C45" s="59"/>
      <c r="D45" s="21" t="s">
        <v>147</v>
      </c>
      <c r="E45" s="19" t="s">
        <v>148</v>
      </c>
      <c r="F45" s="14"/>
      <c r="G45" s="15" t="s">
        <v>149</v>
      </c>
      <c r="H45" s="15" t="s">
        <v>38</v>
      </c>
      <c r="I45" s="4" t="s">
        <v>45</v>
      </c>
      <c r="J45" s="15" t="s">
        <v>38</v>
      </c>
      <c r="K45" s="15" t="s">
        <v>114</v>
      </c>
      <c r="L45" s="9" t="e">
        <f t="shared" ref="L45:L46" si="11">IF(B46="",L44,B46)</f>
        <v>#REF!</v>
      </c>
    </row>
    <row r="46" spans="1:12" ht="12.75" customHeight="1">
      <c r="A46" s="4">
        <f t="shared" si="8"/>
        <v>44</v>
      </c>
      <c r="B46" s="59"/>
      <c r="C46" s="59"/>
      <c r="D46" s="60" t="s">
        <v>150</v>
      </c>
      <c r="E46" s="13" t="s">
        <v>193</v>
      </c>
      <c r="F46" s="14"/>
      <c r="G46" s="14" t="s">
        <v>194</v>
      </c>
      <c r="H46" s="15" t="s">
        <v>153</v>
      </c>
      <c r="I46" s="4" t="s">
        <v>17</v>
      </c>
      <c r="J46" s="14" t="s">
        <v>195</v>
      </c>
      <c r="K46" s="15" t="s">
        <v>47</v>
      </c>
      <c r="L46" s="9" t="e">
        <f t="shared" si="11"/>
        <v>#REF!</v>
      </c>
    </row>
    <row r="47" spans="1:12" ht="12.75" customHeight="1">
      <c r="A47" s="4">
        <f t="shared" si="8"/>
        <v>45</v>
      </c>
      <c r="B47" s="59"/>
      <c r="C47" s="59"/>
      <c r="D47" s="59"/>
      <c r="E47" s="17" t="s">
        <v>196</v>
      </c>
      <c r="G47" s="14" t="s">
        <v>197</v>
      </c>
      <c r="H47" s="14" t="s">
        <v>198</v>
      </c>
      <c r="I47" s="4" t="s">
        <v>17</v>
      </c>
      <c r="J47" s="17" t="s">
        <v>199</v>
      </c>
      <c r="K47" s="12" t="s">
        <v>47</v>
      </c>
    </row>
    <row r="48" spans="1:12" ht="12.75" customHeight="1">
      <c r="A48" s="4">
        <f t="shared" si="8"/>
        <v>46</v>
      </c>
      <c r="B48" s="59"/>
      <c r="C48" s="61"/>
      <c r="D48" s="61"/>
      <c r="E48" s="13" t="s">
        <v>200</v>
      </c>
      <c r="G48" s="17" t="s">
        <v>201</v>
      </c>
      <c r="H48" s="12" t="s">
        <v>161</v>
      </c>
      <c r="I48" s="4" t="s">
        <v>45</v>
      </c>
      <c r="J48" s="15" t="s">
        <v>162</v>
      </c>
      <c r="K48" s="15" t="s">
        <v>114</v>
      </c>
      <c r="L48" s="9">
        <f>IF(B48="",L47,B48)</f>
        <v>0</v>
      </c>
    </row>
    <row r="49" spans="1:12" ht="21" customHeight="1">
      <c r="A49" s="4">
        <f t="shared" si="8"/>
        <v>47</v>
      </c>
      <c r="B49" s="59"/>
      <c r="C49" s="65" t="s">
        <v>202</v>
      </c>
      <c r="D49" s="48" t="s">
        <v>168</v>
      </c>
      <c r="E49" s="19" t="s">
        <v>163</v>
      </c>
      <c r="F49" s="14" t="s">
        <v>203</v>
      </c>
      <c r="G49" s="14" t="s">
        <v>204</v>
      </c>
      <c r="H49" s="15" t="s">
        <v>166</v>
      </c>
      <c r="I49" s="4" t="s">
        <v>17</v>
      </c>
      <c r="J49" s="15" t="s">
        <v>167</v>
      </c>
      <c r="K49" s="15" t="s">
        <v>47</v>
      </c>
      <c r="L49" s="9" t="e">
        <f>IF(B50="",#REF!,B50)</f>
        <v>#REF!</v>
      </c>
    </row>
    <row r="50" spans="1:12" ht="12.75" customHeight="1">
      <c r="A50" s="4">
        <f t="shared" si="8"/>
        <v>48</v>
      </c>
      <c r="B50" s="59"/>
      <c r="C50" s="63"/>
      <c r="D50" s="55"/>
      <c r="E50" s="19" t="s">
        <v>169</v>
      </c>
      <c r="F50" s="14" t="s">
        <v>205</v>
      </c>
      <c r="G50" s="14" t="s">
        <v>206</v>
      </c>
      <c r="H50" s="15" t="s">
        <v>172</v>
      </c>
      <c r="I50" s="4" t="s">
        <v>17</v>
      </c>
      <c r="J50" s="15" t="s">
        <v>173</v>
      </c>
      <c r="K50" s="15" t="s">
        <v>114</v>
      </c>
      <c r="L50" s="9" t="e">
        <f t="shared" ref="L50:L52" si="12">IF(B51="",L49,B51)</f>
        <v>#REF!</v>
      </c>
    </row>
    <row r="51" spans="1:12" ht="12.75" customHeight="1">
      <c r="A51" s="4">
        <f t="shared" si="8"/>
        <v>49</v>
      </c>
      <c r="B51" s="59"/>
      <c r="C51" s="63"/>
      <c r="D51" s="10" t="s">
        <v>94</v>
      </c>
      <c r="E51" s="19" t="s">
        <v>207</v>
      </c>
      <c r="F51" s="15" t="s">
        <v>96</v>
      </c>
      <c r="G51" s="14"/>
      <c r="H51" s="15" t="s">
        <v>97</v>
      </c>
      <c r="I51" s="4" t="s">
        <v>17</v>
      </c>
      <c r="J51" s="15" t="s">
        <v>97</v>
      </c>
      <c r="K51" s="15" t="s">
        <v>47</v>
      </c>
      <c r="L51" s="9" t="e">
        <f t="shared" si="12"/>
        <v>#REF!</v>
      </c>
    </row>
    <row r="52" spans="1:12" ht="12.75" customHeight="1">
      <c r="A52" s="4">
        <f t="shared" si="8"/>
        <v>50</v>
      </c>
      <c r="B52" s="59"/>
      <c r="C52" s="63"/>
      <c r="D52" s="49" t="s">
        <v>98</v>
      </c>
      <c r="E52" s="19" t="s">
        <v>99</v>
      </c>
      <c r="F52" s="14" t="s">
        <v>42</v>
      </c>
      <c r="G52" s="15" t="s">
        <v>100</v>
      </c>
      <c r="H52" s="15" t="s">
        <v>101</v>
      </c>
      <c r="I52" s="4" t="s">
        <v>17</v>
      </c>
      <c r="J52" s="14" t="s">
        <v>208</v>
      </c>
      <c r="K52" s="15" t="s">
        <v>47</v>
      </c>
      <c r="L52" s="9" t="e">
        <f t="shared" si="12"/>
        <v>#REF!</v>
      </c>
    </row>
    <row r="53" spans="1:12" ht="12.75" customHeight="1">
      <c r="A53" s="4">
        <f t="shared" si="8"/>
        <v>51</v>
      </c>
      <c r="B53" s="59"/>
      <c r="C53" s="63"/>
      <c r="D53" s="59"/>
      <c r="E53" s="19" t="s">
        <v>103</v>
      </c>
      <c r="F53" s="14" t="s">
        <v>49</v>
      </c>
      <c r="G53" s="14" t="s">
        <v>209</v>
      </c>
      <c r="H53" s="15" t="s">
        <v>105</v>
      </c>
      <c r="I53" s="4" t="s">
        <v>17</v>
      </c>
      <c r="J53" s="15" t="s">
        <v>106</v>
      </c>
      <c r="K53" s="15" t="s">
        <v>47</v>
      </c>
      <c r="L53" s="9" t="e">
        <f>IF(B55="",L52,B55)</f>
        <v>#REF!</v>
      </c>
    </row>
    <row r="54" spans="1:12" ht="12.75" customHeight="1">
      <c r="A54" s="4">
        <f t="shared" si="8"/>
        <v>52</v>
      </c>
      <c r="B54" s="59"/>
      <c r="C54" s="63"/>
      <c r="D54" s="49" t="s">
        <v>107</v>
      </c>
      <c r="E54" s="19" t="s">
        <v>108</v>
      </c>
      <c r="F54" s="14"/>
      <c r="G54" s="14" t="s">
        <v>210</v>
      </c>
      <c r="H54" s="15" t="s">
        <v>110</v>
      </c>
      <c r="I54" s="4" t="s">
        <v>17</v>
      </c>
      <c r="J54" s="15" t="s">
        <v>110</v>
      </c>
      <c r="K54" s="15" t="s">
        <v>47</v>
      </c>
      <c r="L54" s="9"/>
    </row>
    <row r="55" spans="1:12" ht="12.75" customHeight="1">
      <c r="A55" s="4">
        <f t="shared" si="8"/>
        <v>53</v>
      </c>
      <c r="B55" s="59"/>
      <c r="C55" s="63"/>
      <c r="D55" s="59"/>
      <c r="E55" s="19" t="s">
        <v>111</v>
      </c>
      <c r="F55" s="14"/>
      <c r="G55" s="14" t="s">
        <v>211</v>
      </c>
      <c r="H55" s="15" t="s">
        <v>110</v>
      </c>
      <c r="I55" s="4" t="s">
        <v>45</v>
      </c>
      <c r="J55" s="15" t="s">
        <v>113</v>
      </c>
      <c r="K55" s="15" t="s">
        <v>114</v>
      </c>
      <c r="L55" s="9" t="e">
        <f>IF(B56="",L53,B56)</f>
        <v>#REF!</v>
      </c>
    </row>
    <row r="56" spans="1:12" ht="12.75" customHeight="1">
      <c r="A56" s="4">
        <f t="shared" si="8"/>
        <v>54</v>
      </c>
      <c r="B56" s="59"/>
      <c r="C56" s="63"/>
      <c r="D56" s="49" t="s">
        <v>115</v>
      </c>
      <c r="E56" s="19" t="s">
        <v>116</v>
      </c>
      <c r="F56" s="14"/>
      <c r="G56" s="14" t="s">
        <v>212</v>
      </c>
      <c r="H56" s="14" t="s">
        <v>213</v>
      </c>
      <c r="I56" s="4" t="s">
        <v>17</v>
      </c>
      <c r="J56" s="14" t="s">
        <v>214</v>
      </c>
      <c r="K56" s="15" t="s">
        <v>47</v>
      </c>
      <c r="L56" s="9" t="e">
        <f t="shared" ref="L56:L58" si="13">IF(B57="",L55,B57)</f>
        <v>#REF!</v>
      </c>
    </row>
    <row r="57" spans="1:12" ht="12.75" customHeight="1">
      <c r="A57" s="4">
        <f t="shared" si="8"/>
        <v>55</v>
      </c>
      <c r="B57" s="59"/>
      <c r="C57" s="63"/>
      <c r="D57" s="59"/>
      <c r="E57" s="19" t="s">
        <v>120</v>
      </c>
      <c r="F57" s="15"/>
      <c r="G57" s="17" t="s">
        <v>215</v>
      </c>
      <c r="H57" s="14" t="s">
        <v>216</v>
      </c>
      <c r="I57" s="4" t="s">
        <v>17</v>
      </c>
      <c r="J57" s="15" t="s">
        <v>123</v>
      </c>
      <c r="K57" s="15" t="s">
        <v>47</v>
      </c>
      <c r="L57" s="9" t="e">
        <f t="shared" si="13"/>
        <v>#REF!</v>
      </c>
    </row>
    <row r="58" spans="1:12" ht="12.75" customHeight="1">
      <c r="A58" s="4">
        <f t="shared" si="8"/>
        <v>56</v>
      </c>
      <c r="B58" s="59"/>
      <c r="C58" s="63"/>
      <c r="D58" s="49" t="s">
        <v>124</v>
      </c>
      <c r="E58" s="19" t="s">
        <v>125</v>
      </c>
      <c r="F58" s="22" t="s">
        <v>217</v>
      </c>
      <c r="G58" s="14" t="s">
        <v>218</v>
      </c>
      <c r="H58" s="15" t="s">
        <v>128</v>
      </c>
      <c r="I58" s="4" t="s">
        <v>45</v>
      </c>
      <c r="J58" s="15" t="s">
        <v>129</v>
      </c>
      <c r="K58" s="15" t="s">
        <v>114</v>
      </c>
      <c r="L58" s="9" t="e">
        <f t="shared" si="13"/>
        <v>#REF!</v>
      </c>
    </row>
    <row r="59" spans="1:12" ht="12.75" customHeight="1">
      <c r="A59" s="4">
        <f t="shared" si="8"/>
        <v>57</v>
      </c>
      <c r="B59" s="59"/>
      <c r="C59" s="63"/>
      <c r="D59" s="59"/>
      <c r="E59" s="19" t="s">
        <v>130</v>
      </c>
      <c r="F59" s="14"/>
      <c r="G59" s="14" t="s">
        <v>219</v>
      </c>
      <c r="H59" s="15" t="s">
        <v>132</v>
      </c>
      <c r="I59" s="4" t="s">
        <v>34</v>
      </c>
      <c r="J59" s="15" t="s">
        <v>133</v>
      </c>
      <c r="K59" s="15" t="s">
        <v>114</v>
      </c>
      <c r="L59" s="9" t="e">
        <f>IF(#REF!="",L58,#REF!)</f>
        <v>#REF!</v>
      </c>
    </row>
    <row r="60" spans="1:12" ht="12.75" customHeight="1">
      <c r="A60" s="4">
        <f t="shared" si="8"/>
        <v>58</v>
      </c>
      <c r="B60" s="18"/>
      <c r="C60" s="63"/>
      <c r="D60" s="49" t="s">
        <v>134</v>
      </c>
      <c r="E60" s="19" t="s">
        <v>135</v>
      </c>
      <c r="F60" s="14"/>
      <c r="G60" s="14" t="s">
        <v>220</v>
      </c>
      <c r="H60" s="14" t="s">
        <v>221</v>
      </c>
      <c r="I60" s="4" t="s">
        <v>45</v>
      </c>
      <c r="J60" s="15" t="s">
        <v>138</v>
      </c>
      <c r="K60" s="15" t="s">
        <v>114</v>
      </c>
      <c r="L60" s="9" t="e">
        <f>IF(#REF!="",#REF!,#REF!)</f>
        <v>#REF!</v>
      </c>
    </row>
    <row r="61" spans="1:12" ht="12.75" customHeight="1">
      <c r="A61" s="4">
        <f t="shared" si="8"/>
        <v>59</v>
      </c>
      <c r="B61" s="64" t="s">
        <v>92</v>
      </c>
      <c r="C61" s="63"/>
      <c r="D61" s="59"/>
      <c r="E61" s="19" t="s">
        <v>139</v>
      </c>
      <c r="F61" s="14"/>
      <c r="G61" s="14" t="s">
        <v>222</v>
      </c>
      <c r="H61" s="14" t="s">
        <v>223</v>
      </c>
      <c r="I61" s="4" t="s">
        <v>45</v>
      </c>
      <c r="J61" s="15" t="s">
        <v>138</v>
      </c>
      <c r="K61" s="15" t="s">
        <v>114</v>
      </c>
      <c r="L61" s="9" t="e">
        <f t="shared" ref="L61:L62" si="14">IF(B62="",L60,B62)</f>
        <v>#REF!</v>
      </c>
    </row>
    <row r="62" spans="1:12" ht="12.75" customHeight="1">
      <c r="A62" s="4">
        <f t="shared" si="8"/>
        <v>60</v>
      </c>
      <c r="B62" s="64"/>
      <c r="C62" s="63"/>
      <c r="D62" s="21" t="s">
        <v>142</v>
      </c>
      <c r="E62" s="19" t="s">
        <v>143</v>
      </c>
      <c r="F62" s="15" t="s">
        <v>192</v>
      </c>
      <c r="G62" s="12" t="s">
        <v>144</v>
      </c>
      <c r="H62" s="15" t="s">
        <v>145</v>
      </c>
      <c r="I62" s="4" t="s">
        <v>17</v>
      </c>
      <c r="J62" s="15" t="s">
        <v>146</v>
      </c>
      <c r="K62" s="15" t="s">
        <v>47</v>
      </c>
      <c r="L62" s="9" t="e">
        <f t="shared" si="14"/>
        <v>#REF!</v>
      </c>
    </row>
    <row r="63" spans="1:12" ht="12.75" customHeight="1">
      <c r="A63" s="4">
        <f t="shared" si="8"/>
        <v>61</v>
      </c>
      <c r="B63" s="64"/>
      <c r="C63" s="63"/>
      <c r="D63" s="21" t="s">
        <v>147</v>
      </c>
      <c r="E63" s="19" t="s">
        <v>148</v>
      </c>
      <c r="F63" s="14"/>
      <c r="G63" s="15" t="s">
        <v>149</v>
      </c>
      <c r="H63" s="15" t="s">
        <v>38</v>
      </c>
      <c r="I63" s="4" t="s">
        <v>45</v>
      </c>
      <c r="J63" s="15" t="s">
        <v>38</v>
      </c>
      <c r="K63" s="15" t="s">
        <v>114</v>
      </c>
    </row>
    <row r="64" spans="1:12" ht="12.75" customHeight="1">
      <c r="A64" s="4">
        <f t="shared" si="8"/>
        <v>62</v>
      </c>
      <c r="B64" s="64"/>
      <c r="C64" s="63"/>
      <c r="D64" s="60" t="s">
        <v>150</v>
      </c>
      <c r="E64" s="13" t="s">
        <v>224</v>
      </c>
      <c r="F64" s="14"/>
      <c r="G64" s="14" t="s">
        <v>225</v>
      </c>
      <c r="H64" s="15" t="s">
        <v>153</v>
      </c>
      <c r="I64" s="4" t="s">
        <v>17</v>
      </c>
      <c r="J64" s="14" t="s">
        <v>226</v>
      </c>
      <c r="K64" s="15" t="s">
        <v>47</v>
      </c>
      <c r="L64" s="9" t="str">
        <f>IF(B61="",L63,B61)</f>
        <v>인게임기능</v>
      </c>
    </row>
    <row r="65" spans="1:12" ht="12.75" customHeight="1">
      <c r="B65" s="64"/>
      <c r="C65" s="63"/>
      <c r="D65" s="59"/>
      <c r="E65" s="17" t="s">
        <v>227</v>
      </c>
      <c r="G65" s="14" t="s">
        <v>228</v>
      </c>
      <c r="H65" s="14" t="s">
        <v>229</v>
      </c>
      <c r="I65" s="4" t="s">
        <v>17</v>
      </c>
      <c r="J65" s="17" t="s">
        <v>230</v>
      </c>
      <c r="K65" s="12" t="s">
        <v>47</v>
      </c>
    </row>
    <row r="66" spans="1:12" ht="12.75" customHeight="1">
      <c r="B66" s="64"/>
      <c r="C66" s="66"/>
      <c r="D66" s="61"/>
      <c r="E66" s="13" t="s">
        <v>231</v>
      </c>
      <c r="G66" s="17" t="s">
        <v>232</v>
      </c>
      <c r="H66" s="12" t="s">
        <v>161</v>
      </c>
      <c r="I66" s="4" t="s">
        <v>45</v>
      </c>
      <c r="J66" s="15" t="s">
        <v>162</v>
      </c>
      <c r="K66" s="15" t="s">
        <v>114</v>
      </c>
    </row>
    <row r="67" spans="1:12" ht="12.75" customHeight="1">
      <c r="A67" s="37"/>
      <c r="B67" s="64"/>
      <c r="C67" s="46" t="s">
        <v>372</v>
      </c>
      <c r="D67" s="48" t="s">
        <v>373</v>
      </c>
      <c r="E67" s="19" t="s">
        <v>374</v>
      </c>
      <c r="F67" s="15" t="s">
        <v>375</v>
      </c>
      <c r="G67" s="38" t="s">
        <v>376</v>
      </c>
      <c r="H67" s="15" t="s">
        <v>377</v>
      </c>
      <c r="I67" s="4" t="s">
        <v>17</v>
      </c>
      <c r="J67" s="15" t="s">
        <v>514</v>
      </c>
      <c r="K67" s="15"/>
      <c r="L67" s="9" t="e">
        <f>IF(B68="",#REF!,B68)</f>
        <v>#REF!</v>
      </c>
    </row>
    <row r="68" spans="1:12" ht="12.75" customHeight="1">
      <c r="B68" s="64"/>
      <c r="C68" s="47"/>
      <c r="D68" s="49"/>
      <c r="E68" s="19" t="s">
        <v>378</v>
      </c>
      <c r="F68" s="15" t="s">
        <v>379</v>
      </c>
      <c r="G68" s="38" t="s">
        <v>380</v>
      </c>
      <c r="H68" s="15" t="s">
        <v>381</v>
      </c>
      <c r="I68" s="4" t="s">
        <v>17</v>
      </c>
      <c r="J68" s="15" t="s">
        <v>513</v>
      </c>
      <c r="K68" s="15"/>
      <c r="L68" s="9" t="e">
        <f t="shared" ref="L68:L70" si="15">IF(B69="",L67,B69)</f>
        <v>#REF!</v>
      </c>
    </row>
    <row r="69" spans="1:12" ht="12.75" customHeight="1">
      <c r="B69" s="64"/>
      <c r="C69" s="47"/>
      <c r="D69" s="49" t="s">
        <v>382</v>
      </c>
      <c r="E69" s="19" t="s">
        <v>383</v>
      </c>
      <c r="F69" s="15" t="s">
        <v>384</v>
      </c>
      <c r="G69" s="39" t="s">
        <v>385</v>
      </c>
      <c r="H69" s="15" t="s">
        <v>386</v>
      </c>
      <c r="I69" s="4" t="s">
        <v>17</v>
      </c>
      <c r="J69" s="15" t="s">
        <v>491</v>
      </c>
      <c r="K69" s="15"/>
      <c r="L69" s="9" t="e">
        <f t="shared" si="15"/>
        <v>#REF!</v>
      </c>
    </row>
    <row r="70" spans="1:12" ht="12.75" customHeight="1">
      <c r="B70" s="64"/>
      <c r="C70" s="47"/>
      <c r="D70" s="49"/>
      <c r="E70" s="19" t="s">
        <v>387</v>
      </c>
      <c r="F70" s="22" t="s">
        <v>388</v>
      </c>
      <c r="G70" s="38" t="s">
        <v>389</v>
      </c>
      <c r="H70" s="15" t="s">
        <v>390</v>
      </c>
      <c r="I70" s="4" t="s">
        <v>17</v>
      </c>
      <c r="J70" s="15" t="s">
        <v>512</v>
      </c>
      <c r="K70" s="15"/>
      <c r="L70" s="9" t="e">
        <f t="shared" si="15"/>
        <v>#REF!</v>
      </c>
    </row>
    <row r="71" spans="1:12" ht="12.75" customHeight="1">
      <c r="B71" s="64"/>
      <c r="C71" s="47"/>
      <c r="D71" s="49"/>
      <c r="E71" s="19" t="s">
        <v>391</v>
      </c>
      <c r="F71" s="40" t="s">
        <v>392</v>
      </c>
      <c r="G71" s="38" t="s">
        <v>393</v>
      </c>
      <c r="H71" s="15" t="s">
        <v>394</v>
      </c>
      <c r="I71" s="4" t="s">
        <v>17</v>
      </c>
      <c r="J71" s="15" t="s">
        <v>511</v>
      </c>
      <c r="K71" s="14"/>
      <c r="L71" s="9" t="e">
        <f>IF(#REF!="",L70,#REF!)</f>
        <v>#REF!</v>
      </c>
    </row>
    <row r="72" spans="1:12" ht="12.75" customHeight="1">
      <c r="B72" s="64"/>
      <c r="C72" s="47"/>
      <c r="D72" s="49"/>
      <c r="E72" s="19" t="s">
        <v>395</v>
      </c>
      <c r="F72" s="15" t="s">
        <v>396</v>
      </c>
      <c r="G72" s="38" t="s">
        <v>397</v>
      </c>
      <c r="H72" s="15" t="s">
        <v>394</v>
      </c>
      <c r="I72" s="4" t="s">
        <v>52</v>
      </c>
      <c r="J72" s="15"/>
      <c r="K72" s="15"/>
      <c r="L72" s="9" t="e">
        <f>IF(B73="",#REF!,B73)</f>
        <v>#REF!</v>
      </c>
    </row>
    <row r="73" spans="1:12" ht="12.75" customHeight="1">
      <c r="B73" s="64"/>
      <c r="C73" s="47"/>
      <c r="D73" s="49" t="s">
        <v>398</v>
      </c>
      <c r="E73" s="19" t="s">
        <v>399</v>
      </c>
      <c r="F73" s="15" t="s">
        <v>400</v>
      </c>
      <c r="G73" s="38" t="s">
        <v>401</v>
      </c>
      <c r="H73" s="15" t="s">
        <v>386</v>
      </c>
      <c r="I73" s="4" t="s">
        <v>17</v>
      </c>
      <c r="J73" s="15" t="s">
        <v>491</v>
      </c>
      <c r="K73" s="15"/>
      <c r="L73" s="9" t="e">
        <f>IF(B74="",L97,B74)</f>
        <v>#REF!</v>
      </c>
    </row>
    <row r="74" spans="1:12" ht="12.75" customHeight="1">
      <c r="B74" s="64"/>
      <c r="C74" s="47"/>
      <c r="D74" s="49"/>
      <c r="E74" s="19" t="s">
        <v>403</v>
      </c>
      <c r="F74" s="15" t="s">
        <v>402</v>
      </c>
      <c r="G74" s="38" t="s">
        <v>404</v>
      </c>
      <c r="H74" s="15" t="s">
        <v>405</v>
      </c>
      <c r="I74" s="4" t="s">
        <v>17</v>
      </c>
      <c r="J74" s="15" t="s">
        <v>502</v>
      </c>
      <c r="K74" s="15"/>
      <c r="L74" s="9" t="e">
        <f t="shared" ref="L74:L76" si="16">IF(B75="",L73,B75)</f>
        <v>#REF!</v>
      </c>
    </row>
    <row r="75" spans="1:12" ht="12.75" customHeight="1">
      <c r="B75" s="64"/>
      <c r="C75" s="47"/>
      <c r="D75" s="49"/>
      <c r="E75" s="19" t="s">
        <v>406</v>
      </c>
      <c r="F75" s="15" t="s">
        <v>407</v>
      </c>
      <c r="G75" s="41" t="s">
        <v>408</v>
      </c>
      <c r="H75" s="15" t="s">
        <v>409</v>
      </c>
      <c r="I75" s="4" t="s">
        <v>17</v>
      </c>
      <c r="J75" s="15" t="s">
        <v>510</v>
      </c>
      <c r="K75" s="15"/>
      <c r="L75" s="9" t="str">
        <f t="shared" si="16"/>
        <v>npc</v>
      </c>
    </row>
    <row r="76" spans="1:12" ht="12.75" customHeight="1">
      <c r="B76" s="44" t="s">
        <v>410</v>
      </c>
      <c r="C76" s="47" t="s">
        <v>411</v>
      </c>
      <c r="D76" s="49" t="s">
        <v>412</v>
      </c>
      <c r="E76" s="19" t="s">
        <v>413</v>
      </c>
      <c r="F76" s="22"/>
      <c r="G76" s="38" t="s">
        <v>414</v>
      </c>
      <c r="H76" s="15" t="s">
        <v>415</v>
      </c>
      <c r="I76" s="4" t="s">
        <v>17</v>
      </c>
      <c r="J76" s="15" t="s">
        <v>509</v>
      </c>
      <c r="K76" s="15"/>
      <c r="L76" s="9" t="str">
        <f t="shared" si="16"/>
        <v>npc</v>
      </c>
    </row>
    <row r="77" spans="1:12" ht="12.75" customHeight="1">
      <c r="B77" s="44"/>
      <c r="C77" s="47"/>
      <c r="D77" s="49"/>
      <c r="E77" s="19" t="s">
        <v>416</v>
      </c>
      <c r="F77" s="40" t="s">
        <v>417</v>
      </c>
      <c r="G77" s="38" t="s">
        <v>418</v>
      </c>
      <c r="H77" s="15" t="s">
        <v>419</v>
      </c>
      <c r="I77" s="4" t="s">
        <v>17</v>
      </c>
      <c r="J77" s="15" t="s">
        <v>508</v>
      </c>
      <c r="K77" s="14"/>
      <c r="L77" s="9" t="e">
        <f>IF(#REF!="",L76,#REF!)</f>
        <v>#REF!</v>
      </c>
    </row>
    <row r="78" spans="1:12" ht="12.75" customHeight="1">
      <c r="B78" s="44"/>
      <c r="C78" s="47"/>
      <c r="D78" s="49"/>
      <c r="E78" s="19" t="s">
        <v>420</v>
      </c>
      <c r="F78" s="15"/>
      <c r="G78" s="38" t="s">
        <v>421</v>
      </c>
      <c r="H78" s="15" t="s">
        <v>419</v>
      </c>
      <c r="I78" s="4" t="s">
        <v>17</v>
      </c>
      <c r="J78" s="15" t="s">
        <v>508</v>
      </c>
      <c r="K78" s="15"/>
      <c r="L78" s="9" t="e">
        <f>IF(B79="",#REF!,B79)</f>
        <v>#REF!</v>
      </c>
    </row>
    <row r="79" spans="1:12" ht="12.75" customHeight="1">
      <c r="B79" s="44"/>
      <c r="C79" s="47"/>
      <c r="D79" s="49"/>
      <c r="E79" s="19" t="s">
        <v>422</v>
      </c>
      <c r="F79" s="15"/>
      <c r="G79" s="14" t="s">
        <v>290</v>
      </c>
      <c r="H79" s="15" t="s">
        <v>423</v>
      </c>
      <c r="I79" s="4" t="s">
        <v>17</v>
      </c>
      <c r="J79" s="15" t="s">
        <v>507</v>
      </c>
      <c r="K79" s="14"/>
      <c r="L79" s="9" t="e">
        <f t="shared" ref="L79" si="17">IF(B80="",L78,B80)</f>
        <v>#REF!</v>
      </c>
    </row>
    <row r="80" spans="1:12" ht="12.75" customHeight="1">
      <c r="B80" s="44"/>
      <c r="C80" s="47"/>
      <c r="D80" s="49"/>
      <c r="E80" s="19" t="s">
        <v>424</v>
      </c>
      <c r="F80" s="15" t="s">
        <v>425</v>
      </c>
      <c r="G80" s="12" t="s">
        <v>426</v>
      </c>
      <c r="H80" s="15" t="s">
        <v>427</v>
      </c>
      <c r="I80" s="4" t="s">
        <v>17</v>
      </c>
      <c r="J80" s="15" t="s">
        <v>506</v>
      </c>
      <c r="K80" s="14"/>
      <c r="L80" s="9" t="e">
        <f>IF(#REF!="",L79,#REF!)</f>
        <v>#REF!</v>
      </c>
    </row>
    <row r="81" spans="2:12" ht="12.75" customHeight="1">
      <c r="B81" s="44"/>
      <c r="C81" s="47"/>
      <c r="D81" s="49" t="s">
        <v>468</v>
      </c>
      <c r="E81" s="19" t="s">
        <v>413</v>
      </c>
      <c r="F81" s="22"/>
      <c r="G81" s="38" t="s">
        <v>414</v>
      </c>
      <c r="H81" s="15" t="s">
        <v>415</v>
      </c>
      <c r="I81" s="4" t="s">
        <v>52</v>
      </c>
      <c r="J81" s="15"/>
      <c r="K81" s="15"/>
      <c r="L81" s="9" t="e">
        <f t="shared" ref="L81" si="18">IF(B82="",L80,B82)</f>
        <v>#REF!</v>
      </c>
    </row>
    <row r="82" spans="2:12" ht="12.75" customHeight="1">
      <c r="B82" s="44"/>
      <c r="C82" s="47"/>
      <c r="D82" s="49"/>
      <c r="E82" s="19" t="s">
        <v>422</v>
      </c>
      <c r="F82" s="15"/>
      <c r="G82" s="14" t="s">
        <v>290</v>
      </c>
      <c r="H82" s="15" t="s">
        <v>423</v>
      </c>
      <c r="I82" s="4" t="s">
        <v>52</v>
      </c>
      <c r="J82" s="15"/>
      <c r="K82" s="14"/>
      <c r="L82" s="9" t="e">
        <f ca="1">IF(B85="",L83,B85)</f>
        <v>#REF!</v>
      </c>
    </row>
    <row r="83" spans="2:12" ht="12.75" customHeight="1">
      <c r="B83" s="44"/>
      <c r="C83" s="47"/>
      <c r="D83" s="49" t="s">
        <v>469</v>
      </c>
      <c r="E83" s="19" t="s">
        <v>413</v>
      </c>
      <c r="F83" s="22"/>
      <c r="G83" s="38" t="s">
        <v>414</v>
      </c>
      <c r="H83" s="15" t="s">
        <v>415</v>
      </c>
      <c r="I83" s="4" t="s">
        <v>52</v>
      </c>
      <c r="J83" s="15"/>
      <c r="K83" s="15"/>
      <c r="L83" s="9">
        <f t="shared" ref="L83" ca="1" si="19">IF(B84="",L82,B84)</f>
        <v>0</v>
      </c>
    </row>
    <row r="84" spans="2:12" ht="12.75" customHeight="1">
      <c r="B84" s="44"/>
      <c r="C84" s="47"/>
      <c r="D84" s="49"/>
      <c r="E84" s="19" t="s">
        <v>416</v>
      </c>
      <c r="F84" s="40" t="s">
        <v>417</v>
      </c>
      <c r="G84" s="38" t="s">
        <v>418</v>
      </c>
      <c r="H84" s="15" t="s">
        <v>419</v>
      </c>
      <c r="I84" s="4" t="s">
        <v>52</v>
      </c>
      <c r="J84" s="15"/>
      <c r="K84" s="14"/>
      <c r="L84" s="9" t="e">
        <f>IF(#REF!="",L83,#REF!)</f>
        <v>#REF!</v>
      </c>
    </row>
    <row r="85" spans="2:12" ht="12.75" customHeight="1">
      <c r="B85" s="44"/>
      <c r="C85" s="47"/>
      <c r="D85" s="49"/>
      <c r="E85" s="19" t="s">
        <v>420</v>
      </c>
      <c r="F85" s="15"/>
      <c r="G85" s="38" t="s">
        <v>421</v>
      </c>
      <c r="H85" s="15" t="s">
        <v>419</v>
      </c>
      <c r="I85" s="4" t="s">
        <v>52</v>
      </c>
      <c r="J85" s="15"/>
      <c r="K85" s="15"/>
      <c r="L85" s="9" t="e">
        <f>IF(B86="",#REF!,B86)</f>
        <v>#REF!</v>
      </c>
    </row>
    <row r="86" spans="2:12" ht="12.75" customHeight="1">
      <c r="B86" s="44"/>
      <c r="C86" s="47"/>
      <c r="D86" s="49"/>
      <c r="E86" s="19" t="s">
        <v>422</v>
      </c>
      <c r="F86" s="15"/>
      <c r="G86" s="14" t="s">
        <v>290</v>
      </c>
      <c r="H86" s="15" t="s">
        <v>423</v>
      </c>
      <c r="I86" s="4" t="s">
        <v>52</v>
      </c>
      <c r="J86" s="15"/>
      <c r="K86" s="14"/>
      <c r="L86" s="9" t="e">
        <f t="shared" ref="L86:L87" si="20">IF(B87="",L85,B87)</f>
        <v>#REF!</v>
      </c>
    </row>
    <row r="87" spans="2:12" ht="12.75" customHeight="1">
      <c r="B87" s="44"/>
      <c r="C87" s="47"/>
      <c r="D87" s="49" t="s">
        <v>470</v>
      </c>
      <c r="E87" s="19" t="s">
        <v>413</v>
      </c>
      <c r="F87" s="22"/>
      <c r="G87" s="38" t="s">
        <v>414</v>
      </c>
      <c r="H87" s="15" t="s">
        <v>415</v>
      </c>
      <c r="I87" s="4" t="s">
        <v>52</v>
      </c>
      <c r="J87" s="15"/>
      <c r="K87" s="15"/>
      <c r="L87" s="9" t="e">
        <f t="shared" si="20"/>
        <v>#REF!</v>
      </c>
    </row>
    <row r="88" spans="2:12" ht="12.75" customHeight="1">
      <c r="B88" s="44"/>
      <c r="C88" s="47"/>
      <c r="D88" s="49"/>
      <c r="E88" s="19" t="s">
        <v>416</v>
      </c>
      <c r="F88" s="40" t="s">
        <v>471</v>
      </c>
      <c r="G88" s="38" t="s">
        <v>472</v>
      </c>
      <c r="H88" s="15" t="s">
        <v>473</v>
      </c>
      <c r="I88" s="4" t="s">
        <v>52</v>
      </c>
      <c r="J88" s="15"/>
      <c r="K88" s="14"/>
      <c r="L88" s="9" t="e">
        <f>IF(#REF!="",L87,#REF!)</f>
        <v>#REF!</v>
      </c>
    </row>
    <row r="89" spans="2:12" ht="12.75" customHeight="1">
      <c r="B89" s="44"/>
      <c r="C89" s="53" t="s">
        <v>474</v>
      </c>
      <c r="D89" s="56" t="s">
        <v>475</v>
      </c>
      <c r="E89" s="19" t="s">
        <v>476</v>
      </c>
      <c r="F89" s="15" t="s">
        <v>477</v>
      </c>
      <c r="G89" s="38" t="s">
        <v>478</v>
      </c>
      <c r="H89" s="15" t="s">
        <v>479</v>
      </c>
      <c r="I89" s="4" t="s">
        <v>17</v>
      </c>
      <c r="J89" s="15" t="s">
        <v>505</v>
      </c>
      <c r="K89" s="14"/>
      <c r="L89" s="9"/>
    </row>
    <row r="90" spans="2:12" ht="12.75" customHeight="1">
      <c r="B90" s="44"/>
      <c r="C90" s="53"/>
      <c r="D90" s="56"/>
      <c r="E90" s="19" t="s">
        <v>480</v>
      </c>
      <c r="F90" s="15" t="s">
        <v>481</v>
      </c>
      <c r="G90" s="12" t="s">
        <v>482</v>
      </c>
      <c r="H90" s="15" t="s">
        <v>483</v>
      </c>
      <c r="I90" s="4" t="s">
        <v>17</v>
      </c>
      <c r="J90" s="15" t="s">
        <v>504</v>
      </c>
      <c r="K90" s="14"/>
      <c r="L90" s="9"/>
    </row>
    <row r="91" spans="2:12" ht="12.75" customHeight="1">
      <c r="B91" s="44"/>
      <c r="C91" s="53"/>
      <c r="D91" s="56"/>
      <c r="E91" s="37" t="s">
        <v>484</v>
      </c>
      <c r="F91" s="39" t="s">
        <v>485</v>
      </c>
      <c r="G91" s="37" t="s">
        <v>486</v>
      </c>
      <c r="H91" s="39" t="s">
        <v>487</v>
      </c>
      <c r="I91" s="4" t="s">
        <v>17</v>
      </c>
      <c r="J91" s="39" t="s">
        <v>503</v>
      </c>
    </row>
    <row r="92" spans="2:12" ht="12.75" customHeight="1">
      <c r="B92" s="44"/>
      <c r="C92" s="54"/>
      <c r="D92" s="57"/>
      <c r="E92" s="19" t="s">
        <v>422</v>
      </c>
      <c r="F92" s="15"/>
      <c r="G92" s="14" t="s">
        <v>290</v>
      </c>
      <c r="H92" s="15" t="s">
        <v>423</v>
      </c>
      <c r="I92" s="4" t="s">
        <v>17</v>
      </c>
      <c r="J92" s="15" t="s">
        <v>502</v>
      </c>
      <c r="K92" s="14"/>
      <c r="L92" s="9" t="str">
        <f t="shared" ref="L92" si="21">IF(B93="",L91,B93)</f>
        <v>이벤트</v>
      </c>
    </row>
    <row r="93" spans="2:12" ht="12.75" customHeight="1">
      <c r="B93" s="45" t="s">
        <v>344</v>
      </c>
      <c r="C93" s="50" t="s">
        <v>345</v>
      </c>
      <c r="D93" s="24" t="s">
        <v>346</v>
      </c>
      <c r="E93" s="19" t="s">
        <v>348</v>
      </c>
      <c r="F93" s="15" t="s">
        <v>349</v>
      </c>
      <c r="G93" s="14"/>
      <c r="H93" s="15" t="s">
        <v>350</v>
      </c>
      <c r="I93" s="4" t="s">
        <v>17</v>
      </c>
      <c r="J93" s="40" t="s">
        <v>501</v>
      </c>
      <c r="K93" s="14"/>
      <c r="L93" s="9" t="e">
        <f>IF(B94="",#REF!,B94)</f>
        <v>#REF!</v>
      </c>
    </row>
    <row r="94" spans="2:12" ht="12.75" customHeight="1">
      <c r="B94" s="45"/>
      <c r="C94" s="51"/>
      <c r="D94" s="49" t="s">
        <v>347</v>
      </c>
      <c r="E94" s="19" t="s">
        <v>351</v>
      </c>
      <c r="F94" s="15" t="s">
        <v>352</v>
      </c>
      <c r="G94" s="38" t="s">
        <v>353</v>
      </c>
      <c r="H94" s="15" t="s">
        <v>354</v>
      </c>
      <c r="I94" s="4" t="s">
        <v>17</v>
      </c>
      <c r="J94" s="15" t="s">
        <v>500</v>
      </c>
      <c r="K94" s="15"/>
      <c r="L94" s="9" t="e">
        <f t="shared" ref="L94:L96" si="22">IF(B95="",L93,B95)</f>
        <v>#REF!</v>
      </c>
    </row>
    <row r="95" spans="2:12" ht="12.75" customHeight="1">
      <c r="B95" s="45"/>
      <c r="C95" s="51"/>
      <c r="D95" s="49"/>
      <c r="E95" s="19" t="s">
        <v>355</v>
      </c>
      <c r="F95" s="15" t="s">
        <v>356</v>
      </c>
      <c r="G95" s="38" t="s">
        <v>357</v>
      </c>
      <c r="H95" s="15" t="s">
        <v>358</v>
      </c>
      <c r="I95" s="4" t="s">
        <v>52</v>
      </c>
      <c r="J95" s="15"/>
      <c r="K95" s="15"/>
      <c r="L95" s="9" t="e">
        <f t="shared" si="22"/>
        <v>#REF!</v>
      </c>
    </row>
    <row r="96" spans="2:12" ht="12.75" customHeight="1">
      <c r="B96" s="45"/>
      <c r="C96" s="51"/>
      <c r="D96" s="49"/>
      <c r="E96" s="19" t="s">
        <v>359</v>
      </c>
      <c r="F96" s="15" t="s">
        <v>360</v>
      </c>
      <c r="G96" s="15" t="s">
        <v>361</v>
      </c>
      <c r="H96" s="15" t="s">
        <v>362</v>
      </c>
      <c r="I96" s="4" t="s">
        <v>52</v>
      </c>
      <c r="J96" s="15"/>
      <c r="K96" s="14"/>
      <c r="L96" s="9" t="e">
        <f t="shared" si="22"/>
        <v>#REF!</v>
      </c>
    </row>
    <row r="97" spans="2:12" ht="12.75" customHeight="1">
      <c r="B97" s="45"/>
      <c r="C97" s="51"/>
      <c r="D97" s="49" t="s">
        <v>371</v>
      </c>
      <c r="E97" s="19" t="s">
        <v>363</v>
      </c>
      <c r="F97" s="15" t="s">
        <v>364</v>
      </c>
      <c r="G97" s="38" t="s">
        <v>365</v>
      </c>
      <c r="H97" s="15" t="s">
        <v>366</v>
      </c>
      <c r="I97" s="4" t="s">
        <v>52</v>
      </c>
      <c r="J97" s="15"/>
      <c r="K97" s="14"/>
      <c r="L97" s="9" t="e">
        <f>IF(B73="",L96,B73)</f>
        <v>#REF!</v>
      </c>
    </row>
    <row r="98" spans="2:12" ht="12.75" customHeight="1">
      <c r="B98" s="45"/>
      <c r="C98" s="58"/>
      <c r="D98" s="55"/>
      <c r="E98" s="19" t="s">
        <v>367</v>
      </c>
      <c r="F98" s="15" t="s">
        <v>368</v>
      </c>
      <c r="G98" s="38" t="s">
        <v>369</v>
      </c>
      <c r="H98" s="15" t="s">
        <v>370</v>
      </c>
      <c r="I98" s="4" t="s">
        <v>17</v>
      </c>
      <c r="J98" s="40" t="s">
        <v>499</v>
      </c>
      <c r="K98" s="14"/>
      <c r="L98" s="9"/>
    </row>
    <row r="99" spans="2:12" ht="12.75" customHeight="1">
      <c r="B99" s="45"/>
      <c r="C99" s="52" t="s">
        <v>439</v>
      </c>
      <c r="D99" s="24" t="s">
        <v>346</v>
      </c>
      <c r="E99" s="19" t="s">
        <v>440</v>
      </c>
      <c r="F99" s="15" t="s">
        <v>441</v>
      </c>
      <c r="G99" s="14"/>
      <c r="H99" s="15" t="s">
        <v>442</v>
      </c>
      <c r="I99" s="4" t="s">
        <v>17</v>
      </c>
      <c r="J99" s="40" t="s">
        <v>488</v>
      </c>
      <c r="K99" s="14"/>
      <c r="L99" s="9" t="e">
        <f>IF(B100="",#REF!,B100)</f>
        <v>#REF!</v>
      </c>
    </row>
    <row r="100" spans="2:12" ht="12.75" customHeight="1">
      <c r="B100" s="45"/>
      <c r="C100" s="53"/>
      <c r="D100" s="49" t="s">
        <v>347</v>
      </c>
      <c r="E100" s="19" t="s">
        <v>443</v>
      </c>
      <c r="F100" s="15" t="s">
        <v>465</v>
      </c>
      <c r="G100" s="38" t="s">
        <v>444</v>
      </c>
      <c r="H100" s="15" t="s">
        <v>354</v>
      </c>
      <c r="I100" s="4" t="s">
        <v>17</v>
      </c>
      <c r="J100" s="15" t="s">
        <v>498</v>
      </c>
      <c r="K100" s="15"/>
      <c r="L100" s="9" t="e">
        <f t="shared" ref="L100" si="23">IF(B101="",L99,B101)</f>
        <v>#REF!</v>
      </c>
    </row>
    <row r="101" spans="2:12" ht="12.75" customHeight="1">
      <c r="B101" s="45"/>
      <c r="C101" s="53"/>
      <c r="D101" s="49"/>
      <c r="E101" s="19" t="s">
        <v>355</v>
      </c>
      <c r="F101" s="15" t="s">
        <v>466</v>
      </c>
      <c r="G101" s="38" t="s">
        <v>357</v>
      </c>
      <c r="H101" s="15" t="s">
        <v>358</v>
      </c>
      <c r="I101" s="4" t="s">
        <v>17</v>
      </c>
      <c r="J101" s="15" t="s">
        <v>497</v>
      </c>
      <c r="K101" s="15"/>
      <c r="L101" s="9" t="e">
        <f>IF(B102="",L100,B102)</f>
        <v>#REF!</v>
      </c>
    </row>
    <row r="102" spans="2:12" ht="12.75" customHeight="1">
      <c r="B102" s="45"/>
      <c r="C102" s="53"/>
      <c r="D102" s="49"/>
      <c r="E102" s="19" t="s">
        <v>359</v>
      </c>
      <c r="F102" s="15" t="s">
        <v>360</v>
      </c>
      <c r="G102" s="15" t="s">
        <v>361</v>
      </c>
      <c r="H102" s="15" t="s">
        <v>467</v>
      </c>
      <c r="I102" s="4" t="s">
        <v>17</v>
      </c>
      <c r="J102" s="15" t="s">
        <v>496</v>
      </c>
      <c r="K102" s="14"/>
      <c r="L102" s="9" t="e">
        <f>IF(B104="",L101,B104)</f>
        <v>#REF!</v>
      </c>
    </row>
    <row r="103" spans="2:12" ht="12.75" customHeight="1">
      <c r="B103" s="45"/>
      <c r="C103" s="53"/>
      <c r="D103" s="49" t="s">
        <v>371</v>
      </c>
      <c r="E103" s="19" t="s">
        <v>447</v>
      </c>
      <c r="F103" s="15" t="s">
        <v>448</v>
      </c>
      <c r="G103" s="15" t="s">
        <v>449</v>
      </c>
      <c r="H103" s="15" t="s">
        <v>450</v>
      </c>
      <c r="I103" s="4" t="s">
        <v>17</v>
      </c>
      <c r="J103" s="15" t="s">
        <v>492</v>
      </c>
      <c r="K103" s="14"/>
      <c r="L103" s="9"/>
    </row>
    <row r="104" spans="2:12" ht="12.75" customHeight="1">
      <c r="B104" s="45"/>
      <c r="C104" s="53"/>
      <c r="D104" s="49"/>
      <c r="E104" s="19" t="s">
        <v>363</v>
      </c>
      <c r="F104" s="15" t="s">
        <v>364</v>
      </c>
      <c r="G104" s="38" t="s">
        <v>445</v>
      </c>
      <c r="H104" s="15" t="s">
        <v>366</v>
      </c>
      <c r="I104" s="4" t="s">
        <v>17</v>
      </c>
      <c r="J104" s="15" t="s">
        <v>491</v>
      </c>
      <c r="K104" s="14"/>
      <c r="L104" s="9" t="e">
        <f>IF(B79="",L102,B79)</f>
        <v>#REF!</v>
      </c>
    </row>
    <row r="105" spans="2:12" ht="12.75" customHeight="1">
      <c r="B105" s="45"/>
      <c r="C105" s="53"/>
      <c r="D105" s="55"/>
      <c r="E105" s="19" t="s">
        <v>367</v>
      </c>
      <c r="F105" s="15" t="s">
        <v>368</v>
      </c>
      <c r="G105" s="38" t="s">
        <v>446</v>
      </c>
      <c r="H105" s="15" t="s">
        <v>370</v>
      </c>
      <c r="I105" s="4" t="s">
        <v>17</v>
      </c>
      <c r="J105" s="40" t="s">
        <v>494</v>
      </c>
      <c r="K105" s="14"/>
      <c r="L105" s="9"/>
    </row>
    <row r="106" spans="2:12" ht="12.75" customHeight="1">
      <c r="B106" s="45"/>
      <c r="C106" s="54"/>
      <c r="D106" s="39" t="s">
        <v>455</v>
      </c>
      <c r="E106" s="39" t="s">
        <v>457</v>
      </c>
      <c r="G106" s="37" t="s">
        <v>458</v>
      </c>
      <c r="H106" s="39" t="s">
        <v>459</v>
      </c>
      <c r="I106" s="4" t="s">
        <v>17</v>
      </c>
      <c r="J106" s="39" t="s">
        <v>495</v>
      </c>
    </row>
    <row r="107" spans="2:12" ht="12.75" customHeight="1">
      <c r="B107" s="45"/>
      <c r="C107" s="52" t="s">
        <v>451</v>
      </c>
      <c r="D107" s="24" t="s">
        <v>346</v>
      </c>
      <c r="E107" s="19" t="s">
        <v>452</v>
      </c>
      <c r="F107" s="15" t="s">
        <v>453</v>
      </c>
      <c r="G107" s="14"/>
      <c r="H107" s="15" t="s">
        <v>463</v>
      </c>
      <c r="I107" s="4" t="s">
        <v>17</v>
      </c>
      <c r="J107" s="40" t="s">
        <v>488</v>
      </c>
      <c r="K107" s="14"/>
      <c r="L107" s="9" t="e">
        <f>IF(B107="",#REF!,B107)</f>
        <v>#REF!</v>
      </c>
    </row>
    <row r="108" spans="2:12" ht="12.75" customHeight="1">
      <c r="B108" s="45"/>
      <c r="C108" s="53"/>
      <c r="D108" s="49" t="s">
        <v>347</v>
      </c>
      <c r="E108" s="19" t="s">
        <v>464</v>
      </c>
      <c r="F108" s="15" t="s">
        <v>461</v>
      </c>
      <c r="G108" s="38" t="s">
        <v>460</v>
      </c>
      <c r="H108" s="15" t="s">
        <v>354</v>
      </c>
      <c r="I108" s="4" t="s">
        <v>45</v>
      </c>
      <c r="J108" s="15" t="s">
        <v>490</v>
      </c>
      <c r="K108" s="15"/>
      <c r="L108" s="9" t="e">
        <f>IF(B108="",L107,B108)</f>
        <v>#REF!</v>
      </c>
    </row>
    <row r="109" spans="2:12" ht="12.75" customHeight="1">
      <c r="B109" s="45"/>
      <c r="C109" s="53"/>
      <c r="D109" s="49"/>
      <c r="E109" s="19" t="s">
        <v>355</v>
      </c>
      <c r="F109" s="15" t="s">
        <v>462</v>
      </c>
      <c r="G109" s="38" t="s">
        <v>357</v>
      </c>
      <c r="H109" s="15" t="s">
        <v>358</v>
      </c>
      <c r="I109" s="4" t="s">
        <v>52</v>
      </c>
      <c r="J109" s="15"/>
      <c r="K109" s="15"/>
      <c r="L109" s="9" t="e">
        <f>IF(B109="",L108,B109)</f>
        <v>#REF!</v>
      </c>
    </row>
    <row r="110" spans="2:12" ht="12.75" customHeight="1">
      <c r="B110" s="45"/>
      <c r="C110" s="53"/>
      <c r="D110" s="49" t="s">
        <v>371</v>
      </c>
      <c r="E110" s="19" t="s">
        <v>447</v>
      </c>
      <c r="F110" s="15" t="s">
        <v>448</v>
      </c>
      <c r="G110" s="15" t="s">
        <v>449</v>
      </c>
      <c r="H110" s="15" t="s">
        <v>450</v>
      </c>
      <c r="I110" s="4" t="s">
        <v>52</v>
      </c>
      <c r="J110" s="15"/>
      <c r="K110" s="14"/>
      <c r="L110" s="9"/>
    </row>
    <row r="111" spans="2:12" ht="12.75" customHeight="1">
      <c r="B111" s="45"/>
      <c r="C111" s="53"/>
      <c r="D111" s="49"/>
      <c r="E111" s="19" t="s">
        <v>363</v>
      </c>
      <c r="F111" s="15" t="s">
        <v>364</v>
      </c>
      <c r="G111" s="38" t="s">
        <v>445</v>
      </c>
      <c r="H111" s="15" t="s">
        <v>366</v>
      </c>
      <c r="I111" s="4" t="s">
        <v>52</v>
      </c>
      <c r="J111" s="15"/>
      <c r="K111" s="14"/>
      <c r="L111" s="9" t="e">
        <f>IF(B98="",#REF!,B98)</f>
        <v>#REF!</v>
      </c>
    </row>
    <row r="112" spans="2:12" ht="12.75" customHeight="1">
      <c r="B112" s="45"/>
      <c r="C112" s="53"/>
      <c r="D112" s="55"/>
      <c r="E112" s="19" t="s">
        <v>367</v>
      </c>
      <c r="F112" s="15" t="s">
        <v>368</v>
      </c>
      <c r="G112" s="38" t="s">
        <v>446</v>
      </c>
      <c r="H112" s="15" t="s">
        <v>370</v>
      </c>
      <c r="I112" s="4" t="s">
        <v>52</v>
      </c>
      <c r="J112" s="40"/>
      <c r="K112" s="14"/>
      <c r="L112" s="9"/>
    </row>
    <row r="113" spans="2:12" ht="12.75" customHeight="1">
      <c r="B113" s="45"/>
      <c r="C113" s="53"/>
      <c r="D113" s="39" t="s">
        <v>454</v>
      </c>
      <c r="E113" s="39" t="s">
        <v>456</v>
      </c>
      <c r="I113" s="4" t="s">
        <v>52</v>
      </c>
      <c r="J113" s="39" t="s">
        <v>493</v>
      </c>
    </row>
    <row r="114" spans="2:12" ht="12.75" customHeight="1">
      <c r="B114" s="45"/>
      <c r="C114" s="54"/>
      <c r="D114" s="39" t="s">
        <v>455</v>
      </c>
      <c r="E114" s="39" t="s">
        <v>457</v>
      </c>
      <c r="I114" s="4" t="s">
        <v>17</v>
      </c>
      <c r="J114" s="39" t="s">
        <v>489</v>
      </c>
    </row>
    <row r="115" spans="2:12" ht="12.75" customHeight="1">
      <c r="B115" s="44" t="s">
        <v>233</v>
      </c>
      <c r="C115" s="50" t="s">
        <v>234</v>
      </c>
      <c r="D115" s="48" t="s">
        <v>235</v>
      </c>
      <c r="E115" s="19" t="s">
        <v>236</v>
      </c>
      <c r="F115" s="15" t="s">
        <v>237</v>
      </c>
      <c r="G115" s="14" t="s">
        <v>238</v>
      </c>
      <c r="H115" s="15" t="s">
        <v>239</v>
      </c>
      <c r="I115" s="4" t="s">
        <v>17</v>
      </c>
      <c r="J115" s="14"/>
      <c r="K115" s="14"/>
    </row>
    <row r="116" spans="2:12" ht="12.75" customHeight="1">
      <c r="B116" s="44"/>
      <c r="C116" s="51"/>
      <c r="D116" s="49"/>
      <c r="E116" s="19" t="s">
        <v>240</v>
      </c>
      <c r="F116" s="15" t="s">
        <v>241</v>
      </c>
      <c r="G116" s="14" t="s">
        <v>242</v>
      </c>
      <c r="H116" s="15" t="s">
        <v>240</v>
      </c>
      <c r="I116" s="4" t="s">
        <v>45</v>
      </c>
      <c r="J116" s="15" t="s">
        <v>243</v>
      </c>
      <c r="K116" s="15" t="s">
        <v>114</v>
      </c>
      <c r="L116" s="9" t="e">
        <f>IF(B116="",#REF!,B116)</f>
        <v>#REF!</v>
      </c>
    </row>
    <row r="117" spans="2:12" ht="12.75" customHeight="1">
      <c r="B117" s="44"/>
      <c r="C117" s="51"/>
      <c r="D117" s="49"/>
      <c r="E117" s="19" t="s">
        <v>244</v>
      </c>
      <c r="F117" s="15" t="s">
        <v>192</v>
      </c>
      <c r="G117" s="14" t="s">
        <v>245</v>
      </c>
      <c r="H117" s="15" t="s">
        <v>246</v>
      </c>
      <c r="I117" s="4" t="s">
        <v>45</v>
      </c>
      <c r="J117" s="15" t="s">
        <v>247</v>
      </c>
      <c r="K117" s="15" t="s">
        <v>114</v>
      </c>
      <c r="L117" s="9" t="e">
        <f>IF(B117="",L116,B117)</f>
        <v>#REF!</v>
      </c>
    </row>
    <row r="118" spans="2:12" ht="12.75" customHeight="1">
      <c r="B118" s="44"/>
      <c r="C118" s="47" t="s">
        <v>248</v>
      </c>
      <c r="D118" s="49" t="s">
        <v>249</v>
      </c>
      <c r="E118" s="19" t="s">
        <v>250</v>
      </c>
      <c r="F118" s="15" t="s">
        <v>251</v>
      </c>
      <c r="G118" s="15" t="s">
        <v>252</v>
      </c>
      <c r="H118" s="15" t="s">
        <v>253</v>
      </c>
      <c r="I118" s="4" t="s">
        <v>17</v>
      </c>
      <c r="J118" s="15" t="s">
        <v>253</v>
      </c>
      <c r="K118" s="14"/>
      <c r="L118" s="9" t="e">
        <f>IF(B118="",L117,B118)</f>
        <v>#REF!</v>
      </c>
    </row>
    <row r="119" spans="2:12" ht="12.75" customHeight="1">
      <c r="B119" s="44"/>
      <c r="C119" s="47"/>
      <c r="D119" s="49"/>
      <c r="E119" s="19" t="s">
        <v>254</v>
      </c>
      <c r="F119" s="15" t="s">
        <v>255</v>
      </c>
      <c r="G119" s="14" t="s">
        <v>256</v>
      </c>
      <c r="H119" s="15" t="s">
        <v>38</v>
      </c>
      <c r="I119" s="4" t="s">
        <v>17</v>
      </c>
      <c r="J119" s="15" t="s">
        <v>38</v>
      </c>
      <c r="K119" s="14"/>
      <c r="L119" s="9" t="e">
        <f>IF(B119="",L118,B119)</f>
        <v>#REF!</v>
      </c>
    </row>
    <row r="120" spans="2:12" ht="12.75" customHeight="1">
      <c r="B120" s="44"/>
      <c r="C120" s="47"/>
      <c r="D120" s="49"/>
      <c r="E120" s="19" t="s">
        <v>257</v>
      </c>
      <c r="F120" s="15" t="s">
        <v>255</v>
      </c>
      <c r="G120" s="14" t="s">
        <v>258</v>
      </c>
      <c r="H120" s="15" t="s">
        <v>253</v>
      </c>
      <c r="I120" s="4" t="s">
        <v>17</v>
      </c>
      <c r="J120" s="14" t="s">
        <v>259</v>
      </c>
      <c r="K120" s="14"/>
      <c r="L120" s="9" t="e">
        <f>IF(B121="",L119,B121)</f>
        <v>#REF!</v>
      </c>
    </row>
    <row r="121" spans="2:12" ht="12.75" customHeight="1">
      <c r="B121" s="44"/>
      <c r="C121" s="47"/>
      <c r="D121" s="49"/>
      <c r="E121" s="19" t="s">
        <v>260</v>
      </c>
      <c r="F121" s="15" t="s">
        <v>255</v>
      </c>
      <c r="G121" s="14" t="s">
        <v>261</v>
      </c>
      <c r="H121" s="15" t="s">
        <v>38</v>
      </c>
      <c r="I121" s="4" t="s">
        <v>17</v>
      </c>
      <c r="J121" s="15" t="s">
        <v>38</v>
      </c>
      <c r="K121" s="15" t="s">
        <v>47</v>
      </c>
      <c r="L121" s="9"/>
    </row>
    <row r="122" spans="2:12" ht="12.75" customHeight="1">
      <c r="B122" s="44"/>
      <c r="C122" s="47"/>
      <c r="D122" s="25" t="s">
        <v>115</v>
      </c>
      <c r="E122" s="19" t="s">
        <v>262</v>
      </c>
      <c r="F122" s="15" t="s">
        <v>263</v>
      </c>
      <c r="G122" s="14" t="s">
        <v>264</v>
      </c>
      <c r="H122" s="15" t="s">
        <v>265</v>
      </c>
      <c r="I122" s="4" t="s">
        <v>45</v>
      </c>
      <c r="J122" s="15" t="s">
        <v>266</v>
      </c>
      <c r="K122" s="15" t="s">
        <v>267</v>
      </c>
      <c r="L122" s="9" t="e">
        <f>IF(B122="",L120,B122)</f>
        <v>#REF!</v>
      </c>
    </row>
    <row r="123" spans="2:12" ht="12.75" customHeight="1">
      <c r="B123" s="44"/>
      <c r="C123" s="47"/>
      <c r="D123" s="25" t="s">
        <v>142</v>
      </c>
      <c r="E123" s="19" t="s">
        <v>268</v>
      </c>
      <c r="F123" s="15" t="s">
        <v>269</v>
      </c>
      <c r="G123" s="17" t="s">
        <v>270</v>
      </c>
      <c r="H123" s="15" t="s">
        <v>271</v>
      </c>
      <c r="I123" s="4" t="s">
        <v>45</v>
      </c>
      <c r="J123" s="15" t="s">
        <v>266</v>
      </c>
      <c r="K123" s="15" t="s">
        <v>267</v>
      </c>
      <c r="L123" s="9" t="e">
        <f>IF(B123="",L122,B123)</f>
        <v>#REF!</v>
      </c>
    </row>
    <row r="124" spans="2:12" ht="12.75" customHeight="1">
      <c r="B124" s="44"/>
      <c r="C124" s="47"/>
      <c r="D124" s="25" t="s">
        <v>124</v>
      </c>
      <c r="E124" s="19" t="s">
        <v>272</v>
      </c>
      <c r="F124" s="22" t="s">
        <v>273</v>
      </c>
      <c r="G124" s="14" t="s">
        <v>274</v>
      </c>
      <c r="H124" s="15" t="s">
        <v>275</v>
      </c>
      <c r="I124" s="4" t="s">
        <v>17</v>
      </c>
      <c r="J124" s="15" t="s">
        <v>266</v>
      </c>
      <c r="K124" s="15" t="s">
        <v>114</v>
      </c>
      <c r="L124" s="9" t="e">
        <f>IF(B124="",L123,B124)</f>
        <v>#REF!</v>
      </c>
    </row>
    <row r="125" spans="2:12" ht="12.75" customHeight="1">
      <c r="B125" s="44"/>
      <c r="C125" s="42" t="s">
        <v>276</v>
      </c>
      <c r="D125" s="25" t="s">
        <v>277</v>
      </c>
      <c r="E125" s="19" t="s">
        <v>278</v>
      </c>
      <c r="F125" s="14" t="s">
        <v>279</v>
      </c>
      <c r="G125" s="14" t="s">
        <v>280</v>
      </c>
      <c r="H125" s="15" t="s">
        <v>281</v>
      </c>
      <c r="I125" s="4" t="s">
        <v>17</v>
      </c>
      <c r="J125" s="15" t="s">
        <v>281</v>
      </c>
      <c r="K125" s="14"/>
      <c r="L125" s="9" t="e">
        <f>IF(B125="",L124,B125)</f>
        <v>#REF!</v>
      </c>
    </row>
    <row r="126" spans="2:12" ht="12.75" customHeight="1">
      <c r="B126" s="44"/>
      <c r="C126" s="42"/>
      <c r="D126" s="25" t="s">
        <v>282</v>
      </c>
      <c r="E126" s="19" t="s">
        <v>283</v>
      </c>
      <c r="F126" s="15" t="s">
        <v>284</v>
      </c>
      <c r="G126" s="14" t="s">
        <v>285</v>
      </c>
      <c r="H126" s="15" t="s">
        <v>286</v>
      </c>
      <c r="I126" s="4" t="s">
        <v>17</v>
      </c>
      <c r="J126" s="15" t="s">
        <v>287</v>
      </c>
      <c r="K126" s="15" t="s">
        <v>47</v>
      </c>
      <c r="L126" s="9" t="e">
        <f>IF(#REF!="",L125,#REF!)</f>
        <v>#REF!</v>
      </c>
    </row>
    <row r="127" spans="2:12" ht="12.75" customHeight="1">
      <c r="B127" s="44"/>
      <c r="C127" s="42"/>
      <c r="D127" s="49" t="s">
        <v>234</v>
      </c>
      <c r="E127" s="19" t="s">
        <v>288</v>
      </c>
      <c r="F127" s="15" t="s">
        <v>289</v>
      </c>
      <c r="G127" s="14" t="s">
        <v>290</v>
      </c>
      <c r="H127" s="15" t="s">
        <v>291</v>
      </c>
      <c r="I127" s="4" t="s">
        <v>17</v>
      </c>
      <c r="J127" s="15" t="s">
        <v>292</v>
      </c>
      <c r="K127" s="14"/>
      <c r="L127" s="9" t="e">
        <f>IF(B127="",#REF!,B127)</f>
        <v>#REF!</v>
      </c>
    </row>
    <row r="128" spans="2:12" ht="12.75" customHeight="1">
      <c r="B128" s="44"/>
      <c r="C128" s="42"/>
      <c r="D128" s="49"/>
      <c r="E128" s="19" t="s">
        <v>293</v>
      </c>
      <c r="F128" s="15" t="s">
        <v>294</v>
      </c>
      <c r="G128" s="12" t="s">
        <v>295</v>
      </c>
      <c r="H128" s="15" t="s">
        <v>296</v>
      </c>
      <c r="I128" s="4" t="s">
        <v>17</v>
      </c>
      <c r="J128" s="15" t="s">
        <v>296</v>
      </c>
      <c r="K128" s="14"/>
      <c r="L128" s="9" t="e">
        <f>IF(B128="",L127,B128)</f>
        <v>#REF!</v>
      </c>
    </row>
    <row r="129" spans="2:12" ht="12.75" customHeight="1">
      <c r="B129" s="44"/>
      <c r="C129" s="42"/>
      <c r="D129" s="49"/>
      <c r="E129" s="19" t="s">
        <v>297</v>
      </c>
      <c r="F129" s="15" t="s">
        <v>297</v>
      </c>
      <c r="G129" s="15" t="s">
        <v>298</v>
      </c>
      <c r="H129" s="15" t="s">
        <v>33</v>
      </c>
      <c r="I129" s="4" t="s">
        <v>17</v>
      </c>
      <c r="J129" s="15" t="s">
        <v>38</v>
      </c>
      <c r="L129" s="9" t="e">
        <f>IF(B129="",L128,B129)</f>
        <v>#REF!</v>
      </c>
    </row>
    <row r="130" spans="2:12" ht="12.75" customHeight="1">
      <c r="B130" s="44"/>
      <c r="C130" s="42"/>
      <c r="D130" s="49"/>
      <c r="E130" s="19" t="s">
        <v>299</v>
      </c>
      <c r="F130" s="14" t="s">
        <v>300</v>
      </c>
      <c r="G130" s="14" t="s">
        <v>301</v>
      </c>
      <c r="H130" s="15" t="s">
        <v>302</v>
      </c>
      <c r="I130" s="4" t="s">
        <v>17</v>
      </c>
      <c r="J130" s="15" t="s">
        <v>303</v>
      </c>
      <c r="K130" s="14"/>
    </row>
    <row r="131" spans="2:12" ht="12.75" customHeight="1">
      <c r="B131" s="44"/>
      <c r="C131" s="42"/>
      <c r="D131" s="49"/>
      <c r="E131" s="12" t="s">
        <v>304</v>
      </c>
      <c r="F131" s="12" t="s">
        <v>297</v>
      </c>
      <c r="G131" s="14" t="s">
        <v>305</v>
      </c>
      <c r="H131" s="15" t="s">
        <v>38</v>
      </c>
      <c r="I131" s="4" t="s">
        <v>17</v>
      </c>
      <c r="J131" s="12" t="s">
        <v>292</v>
      </c>
      <c r="L131" s="9">
        <f>IF(B130="",L130,B130)</f>
        <v>0</v>
      </c>
    </row>
    <row r="132" spans="2:12" ht="12.75" customHeight="1">
      <c r="B132" s="44"/>
      <c r="C132" s="42"/>
      <c r="D132" s="49"/>
      <c r="E132" s="19" t="s">
        <v>306</v>
      </c>
      <c r="F132" s="12" t="s">
        <v>307</v>
      </c>
      <c r="G132" s="17" t="s">
        <v>308</v>
      </c>
      <c r="H132" s="12" t="s">
        <v>309</v>
      </c>
      <c r="I132" s="4" t="s">
        <v>17</v>
      </c>
      <c r="J132" s="15" t="s">
        <v>310</v>
      </c>
    </row>
    <row r="133" spans="2:12" ht="12.75" customHeight="1">
      <c r="B133" s="44"/>
      <c r="C133" s="42"/>
      <c r="D133" s="49" t="s">
        <v>428</v>
      </c>
      <c r="E133" s="19" t="s">
        <v>429</v>
      </c>
      <c r="F133" s="12" t="s">
        <v>430</v>
      </c>
      <c r="G133" s="41" t="s">
        <v>431</v>
      </c>
      <c r="H133" s="12" t="s">
        <v>429</v>
      </c>
      <c r="I133" s="4" t="s">
        <v>17</v>
      </c>
      <c r="J133" s="15" t="s">
        <v>491</v>
      </c>
    </row>
    <row r="134" spans="2:12" ht="12.75" customHeight="1">
      <c r="B134" s="44"/>
      <c r="C134" s="42"/>
      <c r="D134" s="49"/>
      <c r="E134" s="19" t="s">
        <v>432</v>
      </c>
      <c r="F134" s="12" t="s">
        <v>430</v>
      </c>
      <c r="G134" s="41" t="s">
        <v>433</v>
      </c>
      <c r="H134" s="12" t="s">
        <v>434</v>
      </c>
      <c r="I134" s="4" t="s">
        <v>17</v>
      </c>
      <c r="J134" s="15" t="s">
        <v>492</v>
      </c>
    </row>
    <row r="135" spans="2:12" ht="12.75" customHeight="1">
      <c r="B135" s="44"/>
      <c r="C135" s="42"/>
      <c r="D135" s="49"/>
      <c r="E135" s="19" t="s">
        <v>435</v>
      </c>
      <c r="F135" s="12" t="s">
        <v>436</v>
      </c>
      <c r="G135" s="41" t="s">
        <v>437</v>
      </c>
      <c r="H135" s="12" t="s">
        <v>438</v>
      </c>
      <c r="I135" s="4" t="s">
        <v>17</v>
      </c>
      <c r="J135" s="15" t="s">
        <v>491</v>
      </c>
    </row>
    <row r="136" spans="2:12" ht="12.75" customHeight="1">
      <c r="B136" s="44"/>
      <c r="C136" s="42"/>
      <c r="D136" s="49"/>
      <c r="E136" s="19" t="s">
        <v>311</v>
      </c>
      <c r="F136" s="15" t="s">
        <v>312</v>
      </c>
      <c r="G136" s="14" t="s">
        <v>313</v>
      </c>
      <c r="H136" s="15" t="s">
        <v>314</v>
      </c>
      <c r="I136" s="4" t="s">
        <v>17</v>
      </c>
      <c r="J136" s="15" t="s">
        <v>314</v>
      </c>
      <c r="K136" s="14"/>
    </row>
    <row r="137" spans="2:12" ht="12.75" customHeight="1">
      <c r="B137" s="44"/>
      <c r="C137" s="42"/>
      <c r="D137" s="49"/>
      <c r="E137" s="12" t="s">
        <v>315</v>
      </c>
      <c r="F137" s="12" t="s">
        <v>316</v>
      </c>
      <c r="G137" s="14" t="s">
        <v>317</v>
      </c>
      <c r="H137" s="15" t="s">
        <v>33</v>
      </c>
      <c r="I137" s="4" t="s">
        <v>17</v>
      </c>
      <c r="J137" s="12" t="s">
        <v>38</v>
      </c>
      <c r="L137" s="9">
        <f>IF(B136="",L133,B136)</f>
        <v>0</v>
      </c>
    </row>
    <row r="138" spans="2:12" ht="12.75" customHeight="1">
      <c r="B138" s="44"/>
      <c r="C138" s="42" t="s">
        <v>318</v>
      </c>
      <c r="D138" s="26" t="s">
        <v>319</v>
      </c>
      <c r="E138" s="19" t="s">
        <v>320</v>
      </c>
      <c r="F138" s="12" t="s">
        <v>321</v>
      </c>
      <c r="G138" s="17" t="s">
        <v>322</v>
      </c>
      <c r="H138" s="12" t="s">
        <v>38</v>
      </c>
      <c r="I138" s="4" t="s">
        <v>17</v>
      </c>
      <c r="J138" s="15" t="s">
        <v>314</v>
      </c>
    </row>
    <row r="139" spans="2:12" ht="12.75" customHeight="1">
      <c r="B139" s="44"/>
      <c r="C139" s="42"/>
      <c r="D139" s="25" t="s">
        <v>323</v>
      </c>
      <c r="E139" s="19" t="s">
        <v>324</v>
      </c>
      <c r="F139" s="15" t="s">
        <v>325</v>
      </c>
      <c r="G139" s="14" t="s">
        <v>326</v>
      </c>
      <c r="H139" s="15" t="s">
        <v>38</v>
      </c>
      <c r="I139" s="4" t="s">
        <v>17</v>
      </c>
      <c r="J139" s="15" t="s">
        <v>38</v>
      </c>
      <c r="K139" s="14"/>
    </row>
    <row r="140" spans="2:12" ht="12.75" customHeight="1">
      <c r="B140" s="44"/>
      <c r="C140" s="42"/>
      <c r="D140" s="27" t="s">
        <v>327</v>
      </c>
      <c r="E140" s="12" t="s">
        <v>328</v>
      </c>
      <c r="F140" s="12" t="s">
        <v>329</v>
      </c>
      <c r="G140" s="14" t="s">
        <v>330</v>
      </c>
      <c r="H140" s="15" t="s">
        <v>331</v>
      </c>
      <c r="I140" s="4" t="s">
        <v>17</v>
      </c>
      <c r="J140" s="12" t="s">
        <v>331</v>
      </c>
      <c r="L140" s="9">
        <f>IF(B139="",L139,B139)</f>
        <v>0</v>
      </c>
    </row>
    <row r="141" spans="2:12" ht="12.75" customHeight="1">
      <c r="B141" s="44"/>
      <c r="C141" s="43"/>
      <c r="D141" s="26" t="s">
        <v>332</v>
      </c>
      <c r="E141" s="19" t="s">
        <v>333</v>
      </c>
      <c r="F141" s="12" t="s">
        <v>334</v>
      </c>
      <c r="G141" s="17" t="s">
        <v>335</v>
      </c>
      <c r="H141" s="12" t="s">
        <v>336</v>
      </c>
      <c r="I141" s="4" t="s">
        <v>17</v>
      </c>
      <c r="J141" s="15" t="s">
        <v>337</v>
      </c>
    </row>
    <row r="142" spans="2:12" ht="12.75" customHeight="1"/>
    <row r="143" spans="2:12" ht="12.75" customHeight="1"/>
    <row r="144" spans="2:12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mergeCells count="61">
    <mergeCell ref="D69:D72"/>
    <mergeCell ref="D67:D68"/>
    <mergeCell ref="D73:D75"/>
    <mergeCell ref="D64:D66"/>
    <mergeCell ref="D60:D61"/>
    <mergeCell ref="B2:B10"/>
    <mergeCell ref="C4:C9"/>
    <mergeCell ref="D4:D5"/>
    <mergeCell ref="D6:D7"/>
    <mergeCell ref="B11:B14"/>
    <mergeCell ref="B15:B59"/>
    <mergeCell ref="D28:D30"/>
    <mergeCell ref="C11:C14"/>
    <mergeCell ref="D16:D17"/>
    <mergeCell ref="D18:D19"/>
    <mergeCell ref="D20:D21"/>
    <mergeCell ref="D22:D23"/>
    <mergeCell ref="D24:D25"/>
    <mergeCell ref="D34:D35"/>
    <mergeCell ref="C15:C30"/>
    <mergeCell ref="C33:C48"/>
    <mergeCell ref="D56:D57"/>
    <mergeCell ref="D58:D59"/>
    <mergeCell ref="D36:D37"/>
    <mergeCell ref="D38:D39"/>
    <mergeCell ref="D40:D41"/>
    <mergeCell ref="D42:D43"/>
    <mergeCell ref="D46:D48"/>
    <mergeCell ref="D52:D53"/>
    <mergeCell ref="D54:D55"/>
    <mergeCell ref="D49:D50"/>
    <mergeCell ref="D103:D105"/>
    <mergeCell ref="D108:D109"/>
    <mergeCell ref="D110:D112"/>
    <mergeCell ref="C107:C114"/>
    <mergeCell ref="D81:D82"/>
    <mergeCell ref="D83:D86"/>
    <mergeCell ref="C76:C88"/>
    <mergeCell ref="D87:D88"/>
    <mergeCell ref="D89:D92"/>
    <mergeCell ref="C89:C92"/>
    <mergeCell ref="C93:C98"/>
    <mergeCell ref="D94:D96"/>
    <mergeCell ref="D97:D98"/>
    <mergeCell ref="D100:D102"/>
    <mergeCell ref="D76:D80"/>
    <mergeCell ref="D115:D117"/>
    <mergeCell ref="D118:D121"/>
    <mergeCell ref="D127:D132"/>
    <mergeCell ref="D133:D137"/>
    <mergeCell ref="C118:C124"/>
    <mergeCell ref="C115:C117"/>
    <mergeCell ref="C125:C137"/>
    <mergeCell ref="C138:C141"/>
    <mergeCell ref="B115:B141"/>
    <mergeCell ref="B93:B114"/>
    <mergeCell ref="B76:B92"/>
    <mergeCell ref="C67:C75"/>
    <mergeCell ref="C99:C106"/>
    <mergeCell ref="B61:B75"/>
    <mergeCell ref="C49:C66"/>
  </mergeCells>
  <phoneticPr fontId="19" type="noConversion"/>
  <conditionalFormatting sqref="A1:G1">
    <cfRule type="containsText" dxfId="239" priority="198" operator="containsText" text="Block">
      <formula>NOT(ISERROR(SEARCH(("Block"),(A1))))</formula>
    </cfRule>
    <cfRule type="containsText" dxfId="238" priority="199" operator="containsText" text="N/A">
      <formula>NOT(ISERROR(SEARCH(("N/A"),(A1))))</formula>
    </cfRule>
    <cfRule type="containsText" dxfId="237" priority="200" operator="containsText" text="N/T">
      <formula>NOT(ISERROR(SEARCH(("N/T"),(A1))))</formula>
    </cfRule>
    <cfRule type="containsText" dxfId="236" priority="196" operator="containsText" text="Pass">
      <formula>NOT(ISERROR(SEARCH(("Pass"),(A1))))</formula>
    </cfRule>
    <cfRule type="containsBlanks" dxfId="235" priority="195">
      <formula>LEN(TRIM(A1))=0</formula>
    </cfRule>
    <cfRule type="containsText" dxfId="234" priority="197" operator="containsText" text="Fail">
      <formula>NOT(ISERROR(SEARCH(("Fail"),(A1))))</formula>
    </cfRule>
  </conditionalFormatting>
  <conditionalFormatting sqref="I1">
    <cfRule type="containsText" dxfId="233" priority="201" operator="containsText" text="Pass">
      <formula>NOT(ISERROR(SEARCH(("Pass"),(I1))))</formula>
    </cfRule>
    <cfRule type="containsText" dxfId="232" priority="202" operator="containsText" text="Fail">
      <formula>NOT(ISERROR(SEARCH(("Fail"),(I1))))</formula>
    </cfRule>
    <cfRule type="containsText" dxfId="231" priority="203" operator="containsText" text="Block">
      <formula>NOT(ISERROR(SEARCH(("Block"),(I1))))</formula>
    </cfRule>
    <cfRule type="containsText" dxfId="230" priority="204" operator="containsText" text="N/A">
      <formula>NOT(ISERROR(SEARCH(("N/A"),(I1))))</formula>
    </cfRule>
  </conditionalFormatting>
  <conditionalFormatting sqref="I1:I29 I65:I130">
    <cfRule type="containsText" dxfId="49" priority="206" operator="containsText" text="N/T">
      <formula>NOT(ISERROR(SEARCH(("N/T"),(I1))))</formula>
    </cfRule>
  </conditionalFormatting>
  <conditionalFormatting sqref="I1:I141">
    <cfRule type="containsBlanks" dxfId="48" priority="205">
      <formula>LEN(TRIM(I1))=0</formula>
    </cfRule>
  </conditionalFormatting>
  <conditionalFormatting sqref="I2:I29 I64:I130">
    <cfRule type="containsText" dxfId="47" priority="210" operator="containsText" text="N/A">
      <formula>NOT(ISERROR(SEARCH(("N/A"),(I2))))</formula>
    </cfRule>
    <cfRule type="containsText" dxfId="46" priority="207" operator="containsText" text="Pass">
      <formula>NOT(ISERROR(SEARCH(("Pass"),(I2))))</formula>
    </cfRule>
    <cfRule type="containsText" dxfId="45" priority="208" operator="containsText" text="Fail">
      <formula>NOT(ISERROR(SEARCH(("Fail"),(I2))))</formula>
    </cfRule>
    <cfRule type="containsText" dxfId="44" priority="209" operator="containsText" text="Block">
      <formula>NOT(ISERROR(SEARCH(("Block"),(I2))))</formula>
    </cfRule>
  </conditionalFormatting>
  <conditionalFormatting sqref="I30:I32">
    <cfRule type="containsText" dxfId="229" priority="258" operator="containsText" text="N/A">
      <formula>NOT(ISERROR(SEARCH(("N/A"),(I30))))</formula>
    </cfRule>
    <cfRule type="containsText" dxfId="228" priority="257" operator="containsText" text="Block">
      <formula>NOT(ISERROR(SEARCH(("Block"),(I30))))</formula>
    </cfRule>
    <cfRule type="containsText" dxfId="227" priority="256" operator="containsText" text="Fail">
      <formula>NOT(ISERROR(SEARCH(("Fail"),(I30))))</formula>
    </cfRule>
    <cfRule type="containsText" dxfId="226" priority="255" operator="containsText" text="Pass">
      <formula>NOT(ISERROR(SEARCH(("Pass"),(I30))))</formula>
    </cfRule>
  </conditionalFormatting>
  <conditionalFormatting sqref="I30:I46">
    <cfRule type="containsText" dxfId="225" priority="216" operator="containsText" text="N/T">
      <formula>NOT(ISERROR(SEARCH(("N/T"),(I30))))</formula>
    </cfRule>
  </conditionalFormatting>
  <conditionalFormatting sqref="I33:I37 I39 I44 I46">
    <cfRule type="containsText" dxfId="224" priority="212" operator="containsText" text="Pass">
      <formula>NOT(ISERROR(SEARCH(("Pass"),(I33))))</formula>
    </cfRule>
    <cfRule type="containsText" dxfId="223" priority="213" operator="containsText" text="Fail">
      <formula>NOT(ISERROR(SEARCH(("Fail"),(I33))))</formula>
    </cfRule>
    <cfRule type="containsText" dxfId="222" priority="214" operator="containsText" text="Block">
      <formula>NOT(ISERROR(SEARCH(("Block"),(I33))))</formula>
    </cfRule>
    <cfRule type="containsText" dxfId="221" priority="215" operator="containsText" text="N/A">
      <formula>NOT(ISERROR(SEARCH(("N/A"),(I33))))</formula>
    </cfRule>
  </conditionalFormatting>
  <conditionalFormatting sqref="I38">
    <cfRule type="containsText" dxfId="220" priority="382" operator="containsText" text="Fail">
      <formula>NOT(ISERROR(SEARCH(("Fail"),(I38))))</formula>
    </cfRule>
    <cfRule type="containsText" dxfId="219" priority="381" operator="containsText" text="Pass">
      <formula>NOT(ISERROR(SEARCH(("Pass"),(I38))))</formula>
    </cfRule>
    <cfRule type="containsText" dxfId="218" priority="384" operator="containsText" text="N/A">
      <formula>NOT(ISERROR(SEARCH(("N/A"),(I38))))</formula>
    </cfRule>
    <cfRule type="containsText" dxfId="217" priority="383" operator="containsText" text="Block">
      <formula>NOT(ISERROR(SEARCH(("Block"),(I38))))</formula>
    </cfRule>
  </conditionalFormatting>
  <conditionalFormatting sqref="I40:I43">
    <cfRule type="containsText" dxfId="216" priority="267" operator="containsText" text="Pass">
      <formula>NOT(ISERROR(SEARCH(("Pass"),(I40))))</formula>
    </cfRule>
    <cfRule type="containsText" dxfId="215" priority="269" operator="containsText" text="Block">
      <formula>NOT(ISERROR(SEARCH(("Block"),(I40))))</formula>
    </cfRule>
    <cfRule type="containsText" dxfId="214" priority="270" operator="containsText" text="N/A">
      <formula>NOT(ISERROR(SEARCH(("N/A"),(I40))))</formula>
    </cfRule>
    <cfRule type="containsText" dxfId="213" priority="268" operator="containsText" text="Fail">
      <formula>NOT(ISERROR(SEARCH(("Fail"),(I40))))</formula>
    </cfRule>
  </conditionalFormatting>
  <conditionalFormatting sqref="I45">
    <cfRule type="containsText" dxfId="212" priority="282" operator="containsText" text="N/A">
      <formula>NOT(ISERROR(SEARCH(("N/A"),(I45))))</formula>
    </cfRule>
    <cfRule type="containsText" dxfId="211" priority="281" operator="containsText" text="Block">
      <formula>NOT(ISERROR(SEARCH(("Block"),(I45))))</formula>
    </cfRule>
    <cfRule type="containsText" dxfId="210" priority="280" operator="containsText" text="Fail">
      <formula>NOT(ISERROR(SEARCH(("Fail"),(I45))))</formula>
    </cfRule>
    <cfRule type="containsText" dxfId="209" priority="279" operator="containsText" text="Pass">
      <formula>NOT(ISERROR(SEARCH(("Pass"),(I45))))</formula>
    </cfRule>
  </conditionalFormatting>
  <conditionalFormatting sqref="I47:I50">
    <cfRule type="containsText" dxfId="208" priority="288" operator="containsText" text="N/A">
      <formula>NOT(ISERROR(SEARCH(("N/A"),(I47))))</formula>
    </cfRule>
    <cfRule type="containsText" dxfId="207" priority="286" operator="containsText" text="Fail">
      <formula>NOT(ISERROR(SEARCH(("Fail"),(I47))))</formula>
    </cfRule>
    <cfRule type="containsText" dxfId="206" priority="285" operator="containsText" text="Pass">
      <formula>NOT(ISERROR(SEARCH(("Pass"),(I47))))</formula>
    </cfRule>
    <cfRule type="containsText" dxfId="205" priority="287" operator="containsText" text="Block">
      <formula>NOT(ISERROR(SEARCH(("Block"),(I47))))</formula>
    </cfRule>
  </conditionalFormatting>
  <conditionalFormatting sqref="I47:I64">
    <cfRule type="containsText" dxfId="204" priority="222" operator="containsText" text="N/T">
      <formula>NOT(ISERROR(SEARCH(("N/T"),(I47))))</formula>
    </cfRule>
  </conditionalFormatting>
  <conditionalFormatting sqref="I51:I54 I57 I62">
    <cfRule type="containsText" dxfId="203" priority="218" operator="containsText" text="Pass">
      <formula>NOT(ISERROR(SEARCH(("Pass"),(I51))))</formula>
    </cfRule>
    <cfRule type="containsText" dxfId="202" priority="219" operator="containsText" text="Fail">
      <formula>NOT(ISERROR(SEARCH(("Fail"),(I51))))</formula>
    </cfRule>
    <cfRule type="containsText" dxfId="201" priority="220" operator="containsText" text="Block">
      <formula>NOT(ISERROR(SEARCH(("Block"),(I51))))</formula>
    </cfRule>
    <cfRule type="containsText" dxfId="200" priority="221" operator="containsText" text="N/A">
      <formula>NOT(ISERROR(SEARCH(("N/A"),(I51))))</formula>
    </cfRule>
  </conditionalFormatting>
  <conditionalFormatting sqref="I55:I56">
    <cfRule type="containsText" dxfId="199" priority="294" operator="containsText" text="N/A">
      <formula>NOT(ISERROR(SEARCH(("N/A"),(I55))))</formula>
    </cfRule>
    <cfRule type="containsText" dxfId="198" priority="291" operator="containsText" text="Pass">
      <formula>NOT(ISERROR(SEARCH(("Pass"),(I55))))</formula>
    </cfRule>
    <cfRule type="containsText" dxfId="197" priority="292" operator="containsText" text="Fail">
      <formula>NOT(ISERROR(SEARCH(("Fail"),(I55))))</formula>
    </cfRule>
    <cfRule type="containsText" dxfId="196" priority="293" operator="containsText" text="Block">
      <formula>NOT(ISERROR(SEARCH(("Block"),(I55))))</formula>
    </cfRule>
  </conditionalFormatting>
  <conditionalFormatting sqref="I58:I61">
    <cfRule type="containsText" dxfId="195" priority="299" operator="containsText" text="Block">
      <formula>NOT(ISERROR(SEARCH(("Block"),(I58))))</formula>
    </cfRule>
    <cfRule type="containsText" dxfId="194" priority="300" operator="containsText" text="N/A">
      <formula>NOT(ISERROR(SEARCH(("N/A"),(I58))))</formula>
    </cfRule>
    <cfRule type="containsText" dxfId="193" priority="298" operator="containsText" text="Fail">
      <formula>NOT(ISERROR(SEARCH(("Fail"),(I58))))</formula>
    </cfRule>
    <cfRule type="containsText" dxfId="192" priority="297" operator="containsText" text="Pass">
      <formula>NOT(ISERROR(SEARCH(("Pass"),(I58))))</formula>
    </cfRule>
  </conditionalFormatting>
  <conditionalFormatting sqref="I63">
    <cfRule type="containsText" dxfId="191" priority="312" operator="containsText" text="N/A">
      <formula>NOT(ISERROR(SEARCH(("N/A"),(I63))))</formula>
    </cfRule>
    <cfRule type="containsText" dxfId="190" priority="311" operator="containsText" text="Block">
      <formula>NOT(ISERROR(SEARCH(("Block"),(I63))))</formula>
    </cfRule>
    <cfRule type="containsText" dxfId="189" priority="309" operator="containsText" text="Pass">
      <formula>NOT(ISERROR(SEARCH(("Pass"),(I63))))</formula>
    </cfRule>
    <cfRule type="containsText" dxfId="188" priority="310" operator="containsText" text="Fail">
      <formula>NOT(ISERROR(SEARCH(("Fail"),(I63))))</formula>
    </cfRule>
  </conditionalFormatting>
  <conditionalFormatting sqref="I68:I75">
    <cfRule type="containsText" dxfId="187" priority="155" operator="containsText" text="N/A">
      <formula>NOT(ISERROR(SEARCH(("N/A"),(I68))))</formula>
    </cfRule>
    <cfRule type="containsText" dxfId="186" priority="152" operator="containsText" text="Pass">
      <formula>NOT(ISERROR(SEARCH(("Pass"),(I68))))</formula>
    </cfRule>
    <cfRule type="containsText" dxfId="185" priority="153" operator="containsText" text="Fail">
      <formula>NOT(ISERROR(SEARCH(("Fail"),(I68))))</formula>
    </cfRule>
    <cfRule type="containsText" dxfId="184" priority="154" operator="containsText" text="Block">
      <formula>NOT(ISERROR(SEARCH(("Block"),(I68))))</formula>
    </cfRule>
  </conditionalFormatting>
  <conditionalFormatting sqref="I131:I135">
    <cfRule type="containsText" dxfId="183" priority="432" operator="containsText" text="N/A">
      <formula>NOT(ISERROR(SEARCH(("N/A"),(I131))))</formula>
    </cfRule>
    <cfRule type="containsText" dxfId="182" priority="431" operator="containsText" text="Block">
      <formula>NOT(ISERROR(SEARCH(("Block"),(I131))))</formula>
    </cfRule>
    <cfRule type="containsText" dxfId="181" priority="429" operator="containsText" text="Pass">
      <formula>NOT(ISERROR(SEARCH(("Pass"),(I131))))</formula>
    </cfRule>
    <cfRule type="containsText" dxfId="180" priority="430" operator="containsText" text="Fail">
      <formula>NOT(ISERROR(SEARCH(("Fail"),(I131))))</formula>
    </cfRule>
  </conditionalFormatting>
  <conditionalFormatting sqref="I131:I136">
    <cfRule type="containsText" dxfId="179" priority="234" operator="containsText" text="N/T">
      <formula>NOT(ISERROR(SEARCH(("N/T"),(I131))))</formula>
    </cfRule>
  </conditionalFormatting>
  <conditionalFormatting sqref="I133:I135">
    <cfRule type="containsText" dxfId="178" priority="138" operator="containsText" text="Pass">
      <formula>NOT(ISERROR(SEARCH(("Pass"),(I133))))</formula>
    </cfRule>
    <cfRule type="containsText" dxfId="177" priority="139" operator="containsText" text="Fail">
      <formula>NOT(ISERROR(SEARCH(("Fail"),(I133))))</formula>
    </cfRule>
    <cfRule type="containsText" dxfId="176" priority="140" operator="containsText" text="Block">
      <formula>NOT(ISERROR(SEARCH(("Block"),(I133))))</formula>
    </cfRule>
    <cfRule type="containsText" dxfId="175" priority="141" operator="containsText" text="N/A">
      <formula>NOT(ISERROR(SEARCH(("N/A"),(I133))))</formula>
    </cfRule>
    <cfRule type="containsText" dxfId="174" priority="137" operator="containsText" text="N/T">
      <formula>NOT(ISERROR(SEARCH(("N/T"),(I133))))</formula>
    </cfRule>
  </conditionalFormatting>
  <conditionalFormatting sqref="I136">
    <cfRule type="containsText" dxfId="173" priority="231" operator="containsText" text="Fail">
      <formula>NOT(ISERROR(SEARCH(("Fail"),(I136))))</formula>
    </cfRule>
    <cfRule type="containsText" dxfId="172" priority="232" operator="containsText" text="Block">
      <formula>NOT(ISERROR(SEARCH(("Block"),(I136))))</formula>
    </cfRule>
    <cfRule type="containsText" dxfId="171" priority="230" operator="containsText" text="Pass">
      <formula>NOT(ISERROR(SEARCH(("Pass"),(I136))))</formula>
    </cfRule>
    <cfRule type="containsText" dxfId="170" priority="233" operator="containsText" text="N/A">
      <formula>NOT(ISERROR(SEARCH(("N/A"),(I136))))</formula>
    </cfRule>
  </conditionalFormatting>
  <conditionalFormatting sqref="I137">
    <cfRule type="containsText" dxfId="169" priority="423" operator="containsText" text="Pass">
      <formula>NOT(ISERROR(SEARCH(("Pass"),(I137))))</formula>
    </cfRule>
    <cfRule type="containsText" dxfId="168" priority="424" operator="containsText" text="Fail">
      <formula>NOT(ISERROR(SEARCH(("Fail"),(I137))))</formula>
    </cfRule>
    <cfRule type="containsText" dxfId="167" priority="425" operator="containsText" text="Block">
      <formula>NOT(ISERROR(SEARCH(("Block"),(I137))))</formula>
    </cfRule>
    <cfRule type="containsText" dxfId="166" priority="426" operator="containsText" text="N/A">
      <formula>NOT(ISERROR(SEARCH(("N/A"),(I137))))</formula>
    </cfRule>
  </conditionalFormatting>
  <conditionalFormatting sqref="I137:I139">
    <cfRule type="containsText" dxfId="165" priority="240" operator="containsText" text="N/T">
      <formula>NOT(ISERROR(SEARCH(("N/T"),(I137))))</formula>
    </cfRule>
  </conditionalFormatting>
  <conditionalFormatting sqref="I138:I139">
    <cfRule type="containsText" dxfId="164" priority="236" operator="containsText" text="Pass">
      <formula>NOT(ISERROR(SEARCH(("Pass"),(I138))))</formula>
    </cfRule>
    <cfRule type="containsText" dxfId="163" priority="237" operator="containsText" text="Fail">
      <formula>NOT(ISERROR(SEARCH(("Fail"),(I138))))</formula>
    </cfRule>
    <cfRule type="containsText" dxfId="162" priority="238" operator="containsText" text="Block">
      <formula>NOT(ISERROR(SEARCH(("Block"),(I138))))</formula>
    </cfRule>
    <cfRule type="containsText" dxfId="161" priority="239" operator="containsText" text="N/A">
      <formula>NOT(ISERROR(SEARCH(("N/A"),(I138))))</formula>
    </cfRule>
  </conditionalFormatting>
  <conditionalFormatting sqref="I140">
    <cfRule type="containsText" dxfId="160" priority="441" operator="containsText" text="Pass">
      <formula>NOT(ISERROR(SEARCH(("Pass"),(I140))))</formula>
    </cfRule>
    <cfRule type="containsText" dxfId="159" priority="442" operator="containsText" text="Fail">
      <formula>NOT(ISERROR(SEARCH(("Fail"),(I140))))</formula>
    </cfRule>
    <cfRule type="containsText" dxfId="158" priority="443" operator="containsText" text="Block">
      <formula>NOT(ISERROR(SEARCH(("Block"),(I140))))</formula>
    </cfRule>
    <cfRule type="containsText" dxfId="157" priority="444" operator="containsText" text="N/A">
      <formula>NOT(ISERROR(SEARCH(("N/A"),(I140))))</formula>
    </cfRule>
  </conditionalFormatting>
  <conditionalFormatting sqref="I140:I141">
    <cfRule type="containsText" dxfId="156" priority="246" operator="containsText" text="N/T">
      <formula>NOT(ISERROR(SEARCH(("N/T"),(I140))))</formula>
    </cfRule>
  </conditionalFormatting>
  <conditionalFormatting sqref="I141">
    <cfRule type="containsText" dxfId="155" priority="242" operator="containsText" text="Pass">
      <formula>NOT(ISERROR(SEARCH(("Pass"),(I141))))</formula>
    </cfRule>
    <cfRule type="containsText" dxfId="154" priority="243" operator="containsText" text="Fail">
      <formula>NOT(ISERROR(SEARCH(("Fail"),(I141))))</formula>
    </cfRule>
    <cfRule type="containsText" dxfId="153" priority="244" operator="containsText" text="Block">
      <formula>NOT(ISERROR(SEARCH(("Block"),(I141))))</formula>
    </cfRule>
    <cfRule type="containsText" dxfId="152" priority="245" operator="containsText" text="N/A">
      <formula>NOT(ISERROR(SEARCH(("N/A"),(I141))))</formula>
    </cfRule>
  </conditionalFormatting>
  <conditionalFormatting sqref="J1:L1">
    <cfRule type="containsText" dxfId="151" priority="251" operator="containsText" text="N/A">
      <formula>NOT(ISERROR(SEARCH(("N/A"),(J1))))</formula>
    </cfRule>
    <cfRule type="containsText" dxfId="150" priority="249" operator="containsText" text="Fail">
      <formula>NOT(ISERROR(SEARCH(("Fail"),(J1))))</formula>
    </cfRule>
    <cfRule type="containsText" dxfId="149" priority="248" operator="containsText" text="Pass">
      <formula>NOT(ISERROR(SEARCH(("Pass"),(J1))))</formula>
    </cfRule>
    <cfRule type="containsText" dxfId="148" priority="250" operator="containsText" text="Block">
      <formula>NOT(ISERROR(SEARCH(("Block"),(J1))))</formula>
    </cfRule>
    <cfRule type="containsBlanks" dxfId="147" priority="247">
      <formula>LEN(TRIM(J1))=0</formula>
    </cfRule>
    <cfRule type="containsText" dxfId="146" priority="252" operator="containsText" text="N/T">
      <formula>NOT(ISERROR(SEARCH(("N/T"),(J1))))</formula>
    </cfRule>
  </conditionalFormatting>
  <conditionalFormatting sqref="I79">
    <cfRule type="containsText" dxfId="144" priority="133" operator="containsText" text="Pass">
      <formula>NOT(ISERROR(SEARCH(("Pass"),(I79))))</formula>
    </cfRule>
    <cfRule type="containsText" dxfId="143" priority="134" operator="containsText" text="Fail">
      <formula>NOT(ISERROR(SEARCH(("Fail"),(I79))))</formula>
    </cfRule>
    <cfRule type="containsText" dxfId="142" priority="135" operator="containsText" text="Block">
      <formula>NOT(ISERROR(SEARCH(("Block"),(I79))))</formula>
    </cfRule>
    <cfRule type="containsText" dxfId="145" priority="136" operator="containsText" text="N/A">
      <formula>NOT(ISERROR(SEARCH(("N/A"),(I79))))</formula>
    </cfRule>
  </conditionalFormatting>
  <conditionalFormatting sqref="I79">
    <cfRule type="containsText" dxfId="140" priority="129" operator="containsText" text="Pass">
      <formula>NOT(ISERROR(SEARCH(("Pass"),(I79))))</formula>
    </cfRule>
    <cfRule type="containsText" dxfId="139" priority="130" operator="containsText" text="Fail">
      <formula>NOT(ISERROR(SEARCH(("Fail"),(I79))))</formula>
    </cfRule>
    <cfRule type="containsText" dxfId="138" priority="131" operator="containsText" text="Block">
      <formula>NOT(ISERROR(SEARCH(("Block"),(I79))))</formula>
    </cfRule>
    <cfRule type="containsText" dxfId="141" priority="132" operator="containsText" text="N/A">
      <formula>NOT(ISERROR(SEARCH(("N/A"),(I79))))</formula>
    </cfRule>
  </conditionalFormatting>
  <conditionalFormatting sqref="I80">
    <cfRule type="containsText" dxfId="136" priority="125" operator="containsText" text="Pass">
      <formula>NOT(ISERROR(SEARCH(("Pass"),(I80))))</formula>
    </cfRule>
    <cfRule type="containsText" dxfId="135" priority="126" operator="containsText" text="Fail">
      <formula>NOT(ISERROR(SEARCH(("Fail"),(I80))))</formula>
    </cfRule>
    <cfRule type="containsText" dxfId="134" priority="127" operator="containsText" text="Block">
      <formula>NOT(ISERROR(SEARCH(("Block"),(I80))))</formula>
    </cfRule>
    <cfRule type="containsText" dxfId="137" priority="128" operator="containsText" text="N/A">
      <formula>NOT(ISERROR(SEARCH(("N/A"),(I80))))</formula>
    </cfRule>
  </conditionalFormatting>
  <conditionalFormatting sqref="I78">
    <cfRule type="containsText" dxfId="132" priority="121" operator="containsText" text="Pass">
      <formula>NOT(ISERROR(SEARCH(("Pass"),(I78))))</formula>
    </cfRule>
    <cfRule type="containsText" dxfId="131" priority="122" operator="containsText" text="Fail">
      <formula>NOT(ISERROR(SEARCH(("Fail"),(I78))))</formula>
    </cfRule>
    <cfRule type="containsText" dxfId="130" priority="123" operator="containsText" text="Block">
      <formula>NOT(ISERROR(SEARCH(("Block"),(I78))))</formula>
    </cfRule>
    <cfRule type="containsText" dxfId="133" priority="124" operator="containsText" text="N/A">
      <formula>NOT(ISERROR(SEARCH(("N/A"),(I78))))</formula>
    </cfRule>
  </conditionalFormatting>
  <conditionalFormatting sqref="I76 I78">
    <cfRule type="containsText" dxfId="128" priority="117" operator="containsText" text="Pass">
      <formula>NOT(ISERROR(SEARCH(("Pass"),(I76))))</formula>
    </cfRule>
    <cfRule type="containsText" dxfId="127" priority="118" operator="containsText" text="Fail">
      <formula>NOT(ISERROR(SEARCH(("Fail"),(I76))))</formula>
    </cfRule>
    <cfRule type="containsText" dxfId="126" priority="119" operator="containsText" text="Block">
      <formula>NOT(ISERROR(SEARCH(("Block"),(I76))))</formula>
    </cfRule>
    <cfRule type="containsText" dxfId="129" priority="120" operator="containsText" text="N/A">
      <formula>NOT(ISERROR(SEARCH(("N/A"),(I76))))</formula>
    </cfRule>
  </conditionalFormatting>
  <conditionalFormatting sqref="I76 I78">
    <cfRule type="containsText" dxfId="124" priority="113" operator="containsText" text="Pass">
      <formula>NOT(ISERROR(SEARCH(("Pass"),(I76))))</formula>
    </cfRule>
    <cfRule type="containsText" dxfId="123" priority="114" operator="containsText" text="Fail">
      <formula>NOT(ISERROR(SEARCH(("Fail"),(I76))))</formula>
    </cfRule>
    <cfRule type="containsText" dxfId="122" priority="115" operator="containsText" text="Block">
      <formula>NOT(ISERROR(SEARCH(("Block"),(I76))))</formula>
    </cfRule>
    <cfRule type="containsText" dxfId="125" priority="116" operator="containsText" text="N/A">
      <formula>NOT(ISERROR(SEARCH(("N/A"),(I76))))</formula>
    </cfRule>
  </conditionalFormatting>
  <conditionalFormatting sqref="I75:I76 I78">
    <cfRule type="containsText" dxfId="120" priority="109" operator="containsText" text="Pass">
      <formula>NOT(ISERROR(SEARCH(("Pass"),(I75))))</formula>
    </cfRule>
    <cfRule type="containsText" dxfId="119" priority="110" operator="containsText" text="Fail">
      <formula>NOT(ISERROR(SEARCH(("Fail"),(I75))))</formula>
    </cfRule>
    <cfRule type="containsText" dxfId="118" priority="111" operator="containsText" text="Block">
      <formula>NOT(ISERROR(SEARCH(("Block"),(I75))))</formula>
    </cfRule>
    <cfRule type="containsText" dxfId="121" priority="112" operator="containsText" text="N/A">
      <formula>NOT(ISERROR(SEARCH(("N/A"),(I75))))</formula>
    </cfRule>
  </conditionalFormatting>
  <conditionalFormatting sqref="I74:I76 I78">
    <cfRule type="containsText" dxfId="116" priority="105" operator="containsText" text="Pass">
      <formula>NOT(ISERROR(SEARCH(("Pass"),(I74))))</formula>
    </cfRule>
    <cfRule type="containsText" dxfId="115" priority="106" operator="containsText" text="Fail">
      <formula>NOT(ISERROR(SEARCH(("Fail"),(I74))))</formula>
    </cfRule>
    <cfRule type="containsText" dxfId="114" priority="107" operator="containsText" text="Block">
      <formula>NOT(ISERROR(SEARCH(("Block"),(I74))))</formula>
    </cfRule>
    <cfRule type="containsText" dxfId="117" priority="108" operator="containsText" text="N/A">
      <formula>NOT(ISERROR(SEARCH(("N/A"),(I74))))</formula>
    </cfRule>
  </conditionalFormatting>
  <conditionalFormatting sqref="I74:I76 I78">
    <cfRule type="containsText" dxfId="112" priority="101" operator="containsText" text="Pass">
      <formula>NOT(ISERROR(SEARCH(("Pass"),(I74))))</formula>
    </cfRule>
    <cfRule type="containsText" dxfId="111" priority="102" operator="containsText" text="Fail">
      <formula>NOT(ISERROR(SEARCH(("Fail"),(I74))))</formula>
    </cfRule>
    <cfRule type="containsText" dxfId="110" priority="103" operator="containsText" text="Block">
      <formula>NOT(ISERROR(SEARCH(("Block"),(I74))))</formula>
    </cfRule>
    <cfRule type="containsText" dxfId="113" priority="104" operator="containsText" text="N/A">
      <formula>NOT(ISERROR(SEARCH(("N/A"),(I74))))</formula>
    </cfRule>
  </conditionalFormatting>
  <conditionalFormatting sqref="I75:I76 I78">
    <cfRule type="containsText" dxfId="108" priority="97" operator="containsText" text="Pass">
      <formula>NOT(ISERROR(SEARCH(("Pass"),(I75))))</formula>
    </cfRule>
    <cfRule type="containsText" dxfId="107" priority="98" operator="containsText" text="Fail">
      <formula>NOT(ISERROR(SEARCH(("Fail"),(I75))))</formula>
    </cfRule>
    <cfRule type="containsText" dxfId="106" priority="99" operator="containsText" text="Block">
      <formula>NOT(ISERROR(SEARCH(("Block"),(I75))))</formula>
    </cfRule>
    <cfRule type="containsText" dxfId="109" priority="100" operator="containsText" text="N/A">
      <formula>NOT(ISERROR(SEARCH(("N/A"),(I75))))</formula>
    </cfRule>
  </conditionalFormatting>
  <conditionalFormatting sqref="I76:I77 I78">
    <cfRule type="containsText" dxfId="104" priority="93" operator="containsText" text="Pass">
      <formula>NOT(ISERROR(SEARCH(("Pass"),(I76))))</formula>
    </cfRule>
    <cfRule type="containsText" dxfId="103" priority="94" operator="containsText" text="Fail">
      <formula>NOT(ISERROR(SEARCH(("Fail"),(I76))))</formula>
    </cfRule>
    <cfRule type="containsText" dxfId="102" priority="95" operator="containsText" text="Block">
      <formula>NOT(ISERROR(SEARCH(("Block"),(I76))))</formula>
    </cfRule>
    <cfRule type="containsText" dxfId="105" priority="96" operator="containsText" text="N/A">
      <formula>NOT(ISERROR(SEARCH(("N/A"),(I76))))</formula>
    </cfRule>
  </conditionalFormatting>
  <conditionalFormatting sqref="I89">
    <cfRule type="containsText" dxfId="100" priority="89" operator="containsText" text="Pass">
      <formula>NOT(ISERROR(SEARCH(("Pass"),(I89))))</formula>
    </cfRule>
    <cfRule type="containsText" dxfId="99" priority="90" operator="containsText" text="Fail">
      <formula>NOT(ISERROR(SEARCH(("Fail"),(I89))))</formula>
    </cfRule>
    <cfRule type="containsText" dxfId="98" priority="91" operator="containsText" text="Block">
      <formula>NOT(ISERROR(SEARCH(("Block"),(I89))))</formula>
    </cfRule>
    <cfRule type="containsText" dxfId="101" priority="92" operator="containsText" text="N/A">
      <formula>NOT(ISERROR(SEARCH(("N/A"),(I89))))</formula>
    </cfRule>
  </conditionalFormatting>
  <conditionalFormatting sqref="I89:I90">
    <cfRule type="containsText" dxfId="96" priority="85" operator="containsText" text="Pass">
      <formula>NOT(ISERROR(SEARCH(("Pass"),(I89))))</formula>
    </cfRule>
    <cfRule type="containsText" dxfId="95" priority="86" operator="containsText" text="Fail">
      <formula>NOT(ISERROR(SEARCH(("Fail"),(I89))))</formula>
    </cfRule>
    <cfRule type="containsText" dxfId="94" priority="87" operator="containsText" text="Block">
      <formula>NOT(ISERROR(SEARCH(("Block"),(I89))))</formula>
    </cfRule>
    <cfRule type="containsText" dxfId="97" priority="88" operator="containsText" text="N/A">
      <formula>NOT(ISERROR(SEARCH(("N/A"),(I89))))</formula>
    </cfRule>
  </conditionalFormatting>
  <conditionalFormatting sqref="I89:I91">
    <cfRule type="containsText" dxfId="92" priority="81" operator="containsText" text="Pass">
      <formula>NOT(ISERROR(SEARCH(("Pass"),(I89))))</formula>
    </cfRule>
    <cfRule type="containsText" dxfId="91" priority="82" operator="containsText" text="Fail">
      <formula>NOT(ISERROR(SEARCH(("Fail"),(I89))))</formula>
    </cfRule>
    <cfRule type="containsText" dxfId="90" priority="83" operator="containsText" text="Block">
      <formula>NOT(ISERROR(SEARCH(("Block"),(I89))))</formula>
    </cfRule>
    <cfRule type="containsText" dxfId="93" priority="84" operator="containsText" text="N/A">
      <formula>NOT(ISERROR(SEARCH(("N/A"),(I89))))</formula>
    </cfRule>
  </conditionalFormatting>
  <conditionalFormatting sqref="I92">
    <cfRule type="containsText" dxfId="88" priority="77" operator="containsText" text="Pass">
      <formula>NOT(ISERROR(SEARCH(("Pass"),(I92))))</formula>
    </cfRule>
    <cfRule type="containsText" dxfId="87" priority="78" operator="containsText" text="Fail">
      <formula>NOT(ISERROR(SEARCH(("Fail"),(I92))))</formula>
    </cfRule>
    <cfRule type="containsText" dxfId="86" priority="79" operator="containsText" text="Block">
      <formula>NOT(ISERROR(SEARCH(("Block"),(I92))))</formula>
    </cfRule>
    <cfRule type="containsText" dxfId="89" priority="80" operator="containsText" text="N/A">
      <formula>NOT(ISERROR(SEARCH(("N/A"),(I92))))</formula>
    </cfRule>
  </conditionalFormatting>
  <conditionalFormatting sqref="I93">
    <cfRule type="containsText" dxfId="84" priority="73" operator="containsText" text="Pass">
      <formula>NOT(ISERROR(SEARCH(("Pass"),(I93))))</formula>
    </cfRule>
    <cfRule type="containsText" dxfId="83" priority="74" operator="containsText" text="Fail">
      <formula>NOT(ISERROR(SEARCH(("Fail"),(I93))))</formula>
    </cfRule>
    <cfRule type="containsText" dxfId="82" priority="75" operator="containsText" text="Block">
      <formula>NOT(ISERROR(SEARCH(("Block"),(I93))))</formula>
    </cfRule>
    <cfRule type="containsText" dxfId="85" priority="76" operator="containsText" text="N/A">
      <formula>NOT(ISERROR(SEARCH(("N/A"),(I93))))</formula>
    </cfRule>
  </conditionalFormatting>
  <conditionalFormatting sqref="I94">
    <cfRule type="containsText" dxfId="80" priority="69" operator="containsText" text="Pass">
      <formula>NOT(ISERROR(SEARCH(("Pass"),(I94))))</formula>
    </cfRule>
    <cfRule type="containsText" dxfId="79" priority="70" operator="containsText" text="Fail">
      <formula>NOT(ISERROR(SEARCH(("Fail"),(I94))))</formula>
    </cfRule>
    <cfRule type="containsText" dxfId="78" priority="71" operator="containsText" text="Block">
      <formula>NOT(ISERROR(SEARCH(("Block"),(I94))))</formula>
    </cfRule>
    <cfRule type="containsText" dxfId="81" priority="72" operator="containsText" text="N/A">
      <formula>NOT(ISERROR(SEARCH(("N/A"),(I94))))</formula>
    </cfRule>
  </conditionalFormatting>
  <conditionalFormatting sqref="I98">
    <cfRule type="containsText" dxfId="76" priority="65" operator="containsText" text="Pass">
      <formula>NOT(ISERROR(SEARCH(("Pass"),(I98))))</formula>
    </cfRule>
    <cfRule type="containsText" dxfId="75" priority="66" operator="containsText" text="Fail">
      <formula>NOT(ISERROR(SEARCH(("Fail"),(I98))))</formula>
    </cfRule>
    <cfRule type="containsText" dxfId="74" priority="67" operator="containsText" text="Block">
      <formula>NOT(ISERROR(SEARCH(("Block"),(I98))))</formula>
    </cfRule>
    <cfRule type="containsText" dxfId="77" priority="68" operator="containsText" text="N/A">
      <formula>NOT(ISERROR(SEARCH(("N/A"),(I98))))</formula>
    </cfRule>
  </conditionalFormatting>
  <conditionalFormatting sqref="I100">
    <cfRule type="containsText" dxfId="72" priority="61" operator="containsText" text="Pass">
      <formula>NOT(ISERROR(SEARCH(("Pass"),(I100))))</formula>
    </cfRule>
    <cfRule type="containsText" dxfId="71" priority="62" operator="containsText" text="Fail">
      <formula>NOT(ISERROR(SEARCH(("Fail"),(I100))))</formula>
    </cfRule>
    <cfRule type="containsText" dxfId="70" priority="63" operator="containsText" text="Block">
      <formula>NOT(ISERROR(SEARCH(("Block"),(I100))))</formula>
    </cfRule>
    <cfRule type="containsText" dxfId="73" priority="64" operator="containsText" text="N/A">
      <formula>NOT(ISERROR(SEARCH(("N/A"),(I100))))</formula>
    </cfRule>
  </conditionalFormatting>
  <conditionalFormatting sqref="I101">
    <cfRule type="containsText" dxfId="68" priority="57" operator="containsText" text="Pass">
      <formula>NOT(ISERROR(SEARCH(("Pass"),(I101))))</formula>
    </cfRule>
    <cfRule type="containsText" dxfId="67" priority="58" operator="containsText" text="Fail">
      <formula>NOT(ISERROR(SEARCH(("Fail"),(I101))))</formula>
    </cfRule>
    <cfRule type="containsText" dxfId="66" priority="59" operator="containsText" text="Block">
      <formula>NOT(ISERROR(SEARCH(("Block"),(I101))))</formula>
    </cfRule>
    <cfRule type="containsText" dxfId="69" priority="60" operator="containsText" text="N/A">
      <formula>NOT(ISERROR(SEARCH(("N/A"),(I101))))</formula>
    </cfRule>
  </conditionalFormatting>
  <conditionalFormatting sqref="I99">
    <cfRule type="containsText" dxfId="64" priority="53" operator="containsText" text="Pass">
      <formula>NOT(ISERROR(SEARCH(("Pass"),(I99))))</formula>
    </cfRule>
    <cfRule type="containsText" dxfId="63" priority="54" operator="containsText" text="Fail">
      <formula>NOT(ISERROR(SEARCH(("Fail"),(I99))))</formula>
    </cfRule>
    <cfRule type="containsText" dxfId="62" priority="55" operator="containsText" text="Block">
      <formula>NOT(ISERROR(SEARCH(("Block"),(I99))))</formula>
    </cfRule>
    <cfRule type="containsText" dxfId="65" priority="56" operator="containsText" text="N/A">
      <formula>NOT(ISERROR(SEARCH(("N/A"),(I99))))</formula>
    </cfRule>
  </conditionalFormatting>
  <conditionalFormatting sqref="I102">
    <cfRule type="containsText" dxfId="60" priority="49" operator="containsText" text="Pass">
      <formula>NOT(ISERROR(SEARCH(("Pass"),(I102))))</formula>
    </cfRule>
    <cfRule type="containsText" dxfId="59" priority="50" operator="containsText" text="Fail">
      <formula>NOT(ISERROR(SEARCH(("Fail"),(I102))))</formula>
    </cfRule>
    <cfRule type="containsText" dxfId="58" priority="51" operator="containsText" text="Block">
      <formula>NOT(ISERROR(SEARCH(("Block"),(I102))))</formula>
    </cfRule>
    <cfRule type="containsText" dxfId="61" priority="52" operator="containsText" text="N/A">
      <formula>NOT(ISERROR(SEARCH(("N/A"),(I102))))</formula>
    </cfRule>
  </conditionalFormatting>
  <conditionalFormatting sqref="I103">
    <cfRule type="containsText" dxfId="56" priority="45" operator="containsText" text="Pass">
      <formula>NOT(ISERROR(SEARCH(("Pass"),(I103))))</formula>
    </cfRule>
    <cfRule type="containsText" dxfId="55" priority="46" operator="containsText" text="Fail">
      <formula>NOT(ISERROR(SEARCH(("Fail"),(I103))))</formula>
    </cfRule>
    <cfRule type="containsText" dxfId="54" priority="47" operator="containsText" text="Block">
      <formula>NOT(ISERROR(SEARCH(("Block"),(I103))))</formula>
    </cfRule>
    <cfRule type="containsText" dxfId="57" priority="48" operator="containsText" text="N/A">
      <formula>NOT(ISERROR(SEARCH(("N/A"),(I103))))</formula>
    </cfRule>
  </conditionalFormatting>
  <conditionalFormatting sqref="I104">
    <cfRule type="containsText" dxfId="52" priority="41" operator="containsText" text="Pass">
      <formula>NOT(ISERROR(SEARCH(("Pass"),(I104))))</formula>
    </cfRule>
    <cfRule type="containsText" dxfId="51" priority="42" operator="containsText" text="Fail">
      <formula>NOT(ISERROR(SEARCH(("Fail"),(I104))))</formula>
    </cfRule>
    <cfRule type="containsText" dxfId="50" priority="43" operator="containsText" text="Block">
      <formula>NOT(ISERROR(SEARCH(("Block"),(I104))))</formula>
    </cfRule>
    <cfRule type="containsText" dxfId="53" priority="44" operator="containsText" text="N/A">
      <formula>NOT(ISERROR(SEARCH(("N/A"),(I104))))</formula>
    </cfRule>
  </conditionalFormatting>
  <conditionalFormatting sqref="I106">
    <cfRule type="containsText" dxfId="38" priority="37" operator="containsText" text="Pass">
      <formula>NOT(ISERROR(SEARCH(("Pass"),(I106))))</formula>
    </cfRule>
    <cfRule type="containsText" dxfId="37" priority="38" operator="containsText" text="Fail">
      <formula>NOT(ISERROR(SEARCH(("Fail"),(I106))))</formula>
    </cfRule>
    <cfRule type="containsText" dxfId="36" priority="39" operator="containsText" text="Block">
      <formula>NOT(ISERROR(SEARCH(("Block"),(I106))))</formula>
    </cfRule>
    <cfRule type="containsText" dxfId="39" priority="40" operator="containsText" text="N/A">
      <formula>NOT(ISERROR(SEARCH(("N/A"),(I106))))</formula>
    </cfRule>
  </conditionalFormatting>
  <conditionalFormatting sqref="I134">
    <cfRule type="containsText" dxfId="35" priority="32" operator="containsText" text="N/T">
      <formula>NOT(ISERROR(SEARCH(("N/T"),(I134))))</formula>
    </cfRule>
  </conditionalFormatting>
  <conditionalFormatting sqref="I134">
    <cfRule type="containsText" dxfId="33" priority="33" operator="containsText" text="Pass">
      <formula>NOT(ISERROR(SEARCH(("Pass"),(I134))))</formula>
    </cfRule>
    <cfRule type="containsText" dxfId="32" priority="34" operator="containsText" text="Fail">
      <formula>NOT(ISERROR(SEARCH(("Fail"),(I134))))</formula>
    </cfRule>
    <cfRule type="containsText" dxfId="31" priority="35" operator="containsText" text="Block">
      <formula>NOT(ISERROR(SEARCH(("Block"),(I134))))</formula>
    </cfRule>
    <cfRule type="containsText" dxfId="34" priority="36" operator="containsText" text="N/A">
      <formula>NOT(ISERROR(SEARCH(("N/A"),(I134))))</formula>
    </cfRule>
  </conditionalFormatting>
  <conditionalFormatting sqref="I134">
    <cfRule type="containsText" dxfId="29" priority="28" operator="containsText" text="Pass">
      <formula>NOT(ISERROR(SEARCH(("Pass"),(I134))))</formula>
    </cfRule>
    <cfRule type="containsText" dxfId="28" priority="29" operator="containsText" text="Fail">
      <formula>NOT(ISERROR(SEARCH(("Fail"),(I134))))</formula>
    </cfRule>
    <cfRule type="containsText" dxfId="27" priority="30" operator="containsText" text="Block">
      <formula>NOT(ISERROR(SEARCH(("Block"),(I134))))</formula>
    </cfRule>
    <cfRule type="containsText" dxfId="30" priority="31" operator="containsText" text="N/A">
      <formula>NOT(ISERROR(SEARCH(("N/A"),(I134))))</formula>
    </cfRule>
  </conditionalFormatting>
  <conditionalFormatting sqref="I134">
    <cfRule type="containsText" dxfId="26" priority="23" operator="containsText" text="N/T">
      <formula>NOT(ISERROR(SEARCH(("N/T"),(I134))))</formula>
    </cfRule>
  </conditionalFormatting>
  <conditionalFormatting sqref="I134">
    <cfRule type="containsText" dxfId="24" priority="24" operator="containsText" text="Pass">
      <formula>NOT(ISERROR(SEARCH(("Pass"),(I134))))</formula>
    </cfRule>
    <cfRule type="containsText" dxfId="23" priority="25" operator="containsText" text="Fail">
      <formula>NOT(ISERROR(SEARCH(("Fail"),(I134))))</formula>
    </cfRule>
    <cfRule type="containsText" dxfId="22" priority="26" operator="containsText" text="Block">
      <formula>NOT(ISERROR(SEARCH(("Block"),(I134))))</formula>
    </cfRule>
    <cfRule type="containsText" dxfId="25" priority="27" operator="containsText" text="N/A">
      <formula>NOT(ISERROR(SEARCH(("N/A"),(I134))))</formula>
    </cfRule>
  </conditionalFormatting>
  <conditionalFormatting sqref="I134">
    <cfRule type="containsText" dxfId="20" priority="19" operator="containsText" text="Pass">
      <formula>NOT(ISERROR(SEARCH(("Pass"),(I134))))</formula>
    </cfRule>
    <cfRule type="containsText" dxfId="19" priority="20" operator="containsText" text="Fail">
      <formula>NOT(ISERROR(SEARCH(("Fail"),(I134))))</formula>
    </cfRule>
    <cfRule type="containsText" dxfId="18" priority="21" operator="containsText" text="Block">
      <formula>NOT(ISERROR(SEARCH(("Block"),(I134))))</formula>
    </cfRule>
    <cfRule type="containsText" dxfId="21" priority="22" operator="containsText" text="N/A">
      <formula>NOT(ISERROR(SEARCH(("N/A"),(I134))))</formula>
    </cfRule>
  </conditionalFormatting>
  <conditionalFormatting sqref="I135">
    <cfRule type="containsText" dxfId="17" priority="14" operator="containsText" text="N/T">
      <formula>NOT(ISERROR(SEARCH(("N/T"),(I135))))</formula>
    </cfRule>
  </conditionalFormatting>
  <conditionalFormatting sqref="I135">
    <cfRule type="containsText" dxfId="15" priority="15" operator="containsText" text="Pass">
      <formula>NOT(ISERROR(SEARCH(("Pass"),(I135))))</formula>
    </cfRule>
    <cfRule type="containsText" dxfId="14" priority="16" operator="containsText" text="Fail">
      <formula>NOT(ISERROR(SEARCH(("Fail"),(I135))))</formula>
    </cfRule>
    <cfRule type="containsText" dxfId="13" priority="17" operator="containsText" text="Block">
      <formula>NOT(ISERROR(SEARCH(("Block"),(I135))))</formula>
    </cfRule>
    <cfRule type="containsText" dxfId="16" priority="18" operator="containsText" text="N/A">
      <formula>NOT(ISERROR(SEARCH(("N/A"),(I135))))</formula>
    </cfRule>
  </conditionalFormatting>
  <conditionalFormatting sqref="I135">
    <cfRule type="containsText" dxfId="11" priority="10" operator="containsText" text="Pass">
      <formula>NOT(ISERROR(SEARCH(("Pass"),(I135))))</formula>
    </cfRule>
    <cfRule type="containsText" dxfId="10" priority="11" operator="containsText" text="Fail">
      <formula>NOT(ISERROR(SEARCH(("Fail"),(I135))))</formula>
    </cfRule>
    <cfRule type="containsText" dxfId="9" priority="12" operator="containsText" text="Block">
      <formula>NOT(ISERROR(SEARCH(("Block"),(I135))))</formula>
    </cfRule>
    <cfRule type="containsText" dxfId="12" priority="13" operator="containsText" text="N/A">
      <formula>NOT(ISERROR(SEARCH(("N/A"),(I135))))</formula>
    </cfRule>
  </conditionalFormatting>
  <conditionalFormatting sqref="I133">
    <cfRule type="containsText" dxfId="8" priority="5" operator="containsText" text="N/T">
      <formula>NOT(ISERROR(SEARCH(("N/T"),(I133))))</formula>
    </cfRule>
  </conditionalFormatting>
  <conditionalFormatting sqref="I133">
    <cfRule type="containsText" dxfId="6" priority="6" operator="containsText" text="Pass">
      <formula>NOT(ISERROR(SEARCH(("Pass"),(I133))))</formula>
    </cfRule>
    <cfRule type="containsText" dxfId="5" priority="7" operator="containsText" text="Fail">
      <formula>NOT(ISERROR(SEARCH(("Fail"),(I133))))</formula>
    </cfRule>
    <cfRule type="containsText" dxfId="4" priority="8" operator="containsText" text="Block">
      <formula>NOT(ISERROR(SEARCH(("Block"),(I133))))</formula>
    </cfRule>
    <cfRule type="containsText" dxfId="7" priority="9" operator="containsText" text="N/A">
      <formula>NOT(ISERROR(SEARCH(("N/A"),(I133))))</formula>
    </cfRule>
  </conditionalFormatting>
  <conditionalFormatting sqref="I133">
    <cfRule type="containsText" dxfId="2" priority="1" operator="containsText" text="Pass">
      <formula>NOT(ISERROR(SEARCH(("Pass"),(I133))))</formula>
    </cfRule>
    <cfRule type="containsText" dxfId="1" priority="2" operator="containsText" text="Fail">
      <formula>NOT(ISERROR(SEARCH(("Fail"),(I133))))</formula>
    </cfRule>
    <cfRule type="containsText" dxfId="0" priority="3" operator="containsText" text="Block">
      <formula>NOT(ISERROR(SEARCH(("Block"),(I133))))</formula>
    </cfRule>
    <cfRule type="containsText" dxfId="3" priority="4" operator="containsText" text="N/A">
      <formula>NOT(ISERROR(SEARCH(("N/A"),(I133))))</formula>
    </cfRule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J5" sqref="J5"/>
    </sheetView>
  </sheetViews>
  <sheetFormatPr defaultColWidth="14.42578125" defaultRowHeight="15" customHeight="1"/>
  <cols>
    <col min="1" max="1" width="23.5703125" customWidth="1"/>
    <col min="2" max="2" width="6.42578125" customWidth="1"/>
    <col min="3" max="3" width="15.7109375" customWidth="1"/>
    <col min="4" max="9" width="8.7109375" customWidth="1"/>
    <col min="10" max="10" width="9.7109375" customWidth="1"/>
    <col min="11" max="26" width="12.5703125" customWidth="1"/>
  </cols>
  <sheetData>
    <row r="1" spans="1:10" ht="12.75" customHeight="1">
      <c r="A1" s="28" t="s">
        <v>338</v>
      </c>
    </row>
    <row r="2" spans="1:10" ht="12.75" customHeight="1">
      <c r="A2" s="29" t="s">
        <v>339</v>
      </c>
      <c r="B2" s="29" t="s">
        <v>340</v>
      </c>
      <c r="C2" s="29" t="s">
        <v>341</v>
      </c>
      <c r="D2" s="29" t="s">
        <v>17</v>
      </c>
      <c r="E2" s="29" t="s">
        <v>25</v>
      </c>
      <c r="F2" s="29" t="s">
        <v>45</v>
      </c>
      <c r="G2" s="29" t="s">
        <v>34</v>
      </c>
      <c r="H2" s="29" t="s">
        <v>52</v>
      </c>
      <c r="I2" s="29" t="s">
        <v>342</v>
      </c>
      <c r="J2" s="29" t="s">
        <v>343</v>
      </c>
    </row>
    <row r="3" spans="1:10" ht="12.75" customHeight="1">
      <c r="A3" s="30" t="s">
        <v>12</v>
      </c>
      <c r="B3" s="31">
        <f ca="1">COUNTIF(TestCase!L:L,A3)</f>
        <v>6</v>
      </c>
      <c r="C3" s="32">
        <f t="shared" ref="C3:C5" ca="1" si="0">IFERROR(B3/$B$6,0)</f>
        <v>0.54545454545454541</v>
      </c>
      <c r="D3" s="31">
        <f>COUNTIFS(TestCase!$I:$I,"*"&amp;D$2&amp;"*",TestCase!$L:$L,$A3)</f>
        <v>3</v>
      </c>
      <c r="E3" s="31">
        <f>COUNTIFS(TestCase!$I:$I,"*"&amp;E$2&amp;"*",TestCase!$L:$L,$A3)</f>
        <v>0</v>
      </c>
      <c r="F3" s="31">
        <f>COUNTIFS(TestCase!$I:$I,"*"&amp;F$2&amp;"*",TestCase!$L:$L,$A3)</f>
        <v>1</v>
      </c>
      <c r="G3" s="31">
        <f>COUNTIFS(TestCase!$I:$I,"*"&amp;G$2&amp;"*",TestCase!$L:$L,$A3)</f>
        <v>2</v>
      </c>
      <c r="H3" s="31">
        <f ca="1">COUNTIFS(TestCase!$I:$I,"*"&amp;H$2&amp;"*",TestCase!$L:$L,$A3)</f>
        <v>0</v>
      </c>
      <c r="I3" s="31">
        <f>COUNTIFS(TestCase!$I:$I,"*"&amp;I$2&amp;"*",TestCase!$L:$L,$A3)</f>
        <v>0</v>
      </c>
      <c r="J3" s="33">
        <f t="shared" ref="J3:J5" ca="1" si="1">I3/B3</f>
        <v>0</v>
      </c>
    </row>
    <row r="4" spans="1:10" ht="12.75" customHeight="1">
      <c r="A4" s="30" t="s">
        <v>66</v>
      </c>
      <c r="B4" s="31">
        <f ca="1">COUNTIF(TestCase!L:L,A4)</f>
        <v>4</v>
      </c>
      <c r="C4" s="32">
        <f t="shared" ca="1" si="0"/>
        <v>0.36363636363636365</v>
      </c>
      <c r="D4" s="31">
        <f>COUNTIFS(TestCase!$I:$I,"*"&amp;D$2&amp;"*",TestCase!$L:$L,$A4)</f>
        <v>3</v>
      </c>
      <c r="E4" s="31">
        <f>COUNTIFS(TestCase!$I:$I,"*"&amp;E$2&amp;"*",TestCase!$L:$L,$A4)</f>
        <v>0</v>
      </c>
      <c r="F4" s="31">
        <f>COUNTIFS(TestCase!$I:$I,"*"&amp;F$2&amp;"*",TestCase!$L:$L,$A4)</f>
        <v>0</v>
      </c>
      <c r="G4" s="31">
        <f>COUNTIFS(TestCase!$I:$I,"*"&amp;G$2&amp;"*",TestCase!$L:$L,$A4)</f>
        <v>0</v>
      </c>
      <c r="H4" s="31">
        <f ca="1">COUNTIFS(TestCase!$I:$I,"*"&amp;H$2&amp;"*",TestCase!$L:$L,$A4)</f>
        <v>1</v>
      </c>
      <c r="I4" s="34">
        <f t="shared" ref="I4:I5" ca="1" si="2">SUM(D4:H4)</f>
        <v>4</v>
      </c>
      <c r="J4" s="33">
        <f t="shared" ca="1" si="1"/>
        <v>1</v>
      </c>
    </row>
    <row r="5" spans="1:10" ht="12.75" customHeight="1">
      <c r="A5" s="30" t="s">
        <v>92</v>
      </c>
      <c r="B5" s="31">
        <f ca="1">COUNTIF(TestCase!L:L,A5)</f>
        <v>1</v>
      </c>
      <c r="C5" s="32">
        <f t="shared" ca="1" si="0"/>
        <v>9.0909090909090912E-2</v>
      </c>
      <c r="D5" s="31">
        <f>COUNTIFS(TestCase!$I:$I,"*"&amp;D$2&amp;"*",TestCase!$L:$L,$A5)</f>
        <v>1</v>
      </c>
      <c r="E5" s="31">
        <f>COUNTIFS(TestCase!$I:$I,"*"&amp;E$2&amp;"*",TestCase!$L:$L,$A5)</f>
        <v>0</v>
      </c>
      <c r="F5" s="31">
        <f>COUNTIFS(TestCase!$I:$I,"*"&amp;F$2&amp;"*",TestCase!$L:$L,$A5)</f>
        <v>0</v>
      </c>
      <c r="G5" s="31">
        <f>COUNTIFS(TestCase!$I:$I,"*"&amp;G$2&amp;"*",TestCase!$L:$L,$A5)</f>
        <v>0</v>
      </c>
      <c r="H5" s="31">
        <f ca="1">COUNTIFS(TestCase!$I:$I,"*"&amp;H$2&amp;"*",TestCase!$L:$L,$A5)</f>
        <v>0</v>
      </c>
      <c r="I5" s="34">
        <f t="shared" ca="1" si="2"/>
        <v>1</v>
      </c>
      <c r="J5" s="33">
        <f t="shared" ca="1" si="1"/>
        <v>1</v>
      </c>
    </row>
    <row r="6" spans="1:10" ht="12.75" customHeight="1">
      <c r="A6" s="35" t="s">
        <v>342</v>
      </c>
      <c r="B6" s="35">
        <f t="shared" ref="B6:I6" ca="1" si="3">SUM(B3:B5)</f>
        <v>11</v>
      </c>
      <c r="C6" s="36">
        <f t="shared" ca="1" si="3"/>
        <v>1</v>
      </c>
      <c r="D6" s="34">
        <f t="shared" si="3"/>
        <v>7</v>
      </c>
      <c r="E6" s="34">
        <f t="shared" si="3"/>
        <v>0</v>
      </c>
      <c r="F6" s="34">
        <f t="shared" si="3"/>
        <v>1</v>
      </c>
      <c r="G6" s="34">
        <f t="shared" si="3"/>
        <v>2</v>
      </c>
      <c r="H6" s="34">
        <f t="shared" ca="1" si="3"/>
        <v>1</v>
      </c>
      <c r="I6" s="34">
        <f t="shared" ca="1" si="3"/>
        <v>5</v>
      </c>
      <c r="J6" s="34"/>
    </row>
    <row r="7" spans="1:10" ht="12.75" customHeight="1">
      <c r="A7" s="35" t="s">
        <v>343</v>
      </c>
      <c r="B7" s="35"/>
      <c r="C7" s="35"/>
      <c r="D7" s="33">
        <f t="shared" ref="D7:I7" ca="1" si="4">D6/$B6</f>
        <v>0.63636363636363635</v>
      </c>
      <c r="E7" s="33">
        <f t="shared" ca="1" si="4"/>
        <v>0</v>
      </c>
      <c r="F7" s="33">
        <f t="shared" ca="1" si="4"/>
        <v>9.0909090909090912E-2</v>
      </c>
      <c r="G7" s="33">
        <f t="shared" ca="1" si="4"/>
        <v>0.18181818181818182</v>
      </c>
      <c r="H7" s="33">
        <f t="shared" ca="1" si="4"/>
        <v>9.0909090909090912E-2</v>
      </c>
      <c r="I7" s="33">
        <f t="shared" ca="1" si="4"/>
        <v>0.45454545454545453</v>
      </c>
      <c r="J7" s="34"/>
    </row>
    <row r="8" spans="1:10" ht="12.75" customHeight="1"/>
    <row r="9" spans="1:10" ht="12.75" customHeight="1"/>
    <row r="10" spans="1:10" ht="12.75" customHeight="1"/>
    <row r="11" spans="1:10" ht="12.75" customHeight="1"/>
    <row r="12" spans="1:10" ht="12.75" customHeight="1"/>
    <row r="13" spans="1:10" ht="12.75" customHeight="1"/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1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시현 안</cp:lastModifiedBy>
  <dcterms:created xsi:type="dcterms:W3CDTF">2025-09-15T15:28:01Z</dcterms:created>
  <dcterms:modified xsi:type="dcterms:W3CDTF">2025-11-02T02:34:02Z</dcterms:modified>
</cp:coreProperties>
</file>