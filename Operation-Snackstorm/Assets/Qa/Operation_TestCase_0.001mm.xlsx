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-2\Operation-Snackstorm\Operation-Snackstorm\Assets\Qa\"/>
    </mc:Choice>
  </mc:AlternateContent>
  <xr:revisionPtr revIDLastSave="0" documentId="13_ncr:1_{E2FB10F1-D405-4727-9E1A-B2A28DA8B0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Case" sheetId="1" r:id="rId1"/>
    <sheet name="TC MAP" sheetId="2" r:id="rId2"/>
  </sheets>
  <definedNames>
    <definedName name="머릿글" localSheetId="0">TestCase!$B$1:$K$1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E7" i="2"/>
  <c r="D7" i="2"/>
  <c r="C7" i="2"/>
  <c r="I7" i="2"/>
  <c r="B7" i="2"/>
  <c r="G6" i="2"/>
  <c r="F6" i="2"/>
  <c r="E6" i="2"/>
  <c r="A90" i="1"/>
  <c r="A89" i="1"/>
  <c r="A88" i="1"/>
  <c r="A87" i="1"/>
  <c r="A86" i="1"/>
  <c r="A85" i="1"/>
  <c r="A84" i="1"/>
  <c r="A83" i="1"/>
  <c r="A82" i="1"/>
  <c r="A80" i="1"/>
  <c r="A79" i="1"/>
  <c r="A78" i="1"/>
  <c r="A77" i="1"/>
  <c r="A81" i="1"/>
  <c r="A76" i="1"/>
  <c r="A75" i="1"/>
  <c r="A74" i="1"/>
  <c r="A73" i="1"/>
  <c r="A72" i="1"/>
  <c r="A71" i="1"/>
  <c r="A70" i="1"/>
  <c r="A69" i="1"/>
  <c r="A68" i="1"/>
  <c r="A67" i="1"/>
  <c r="A66" i="1"/>
  <c r="A65" i="1"/>
  <c r="L35" i="1"/>
  <c r="L14" i="1"/>
  <c r="L15" i="1" s="1"/>
  <c r="L16" i="1" s="1"/>
  <c r="L17" i="1" s="1"/>
  <c r="L88" i="1"/>
  <c r="L85" i="1"/>
  <c r="L82" i="1"/>
  <c r="L78" i="1"/>
  <c r="L79" i="1" s="1"/>
  <c r="L80" i="1" s="1"/>
  <c r="L77" i="1"/>
  <c r="L67" i="1"/>
  <c r="L68" i="1" s="1"/>
  <c r="L69" i="1" s="1"/>
  <c r="L70" i="1" s="1"/>
  <c r="L71" i="1" s="1"/>
  <c r="L73" i="1" s="1"/>
  <c r="L74" i="1" s="1"/>
  <c r="L75" i="1" s="1"/>
  <c r="L76" i="1" s="1"/>
  <c r="L64" i="1"/>
  <c r="L60" i="1"/>
  <c r="L61" i="1" s="1"/>
  <c r="L62" i="1" s="1"/>
  <c r="L59" i="1"/>
  <c r="L49" i="1"/>
  <c r="L44" i="1"/>
  <c r="L45" i="1" s="1"/>
  <c r="L46" i="1" s="1"/>
  <c r="L47" i="1" s="1"/>
  <c r="L48" i="1" s="1"/>
  <c r="L43" i="1"/>
  <c r="L33" i="1"/>
  <c r="L34" i="1" s="1"/>
  <c r="A11" i="1"/>
  <c r="A12" i="1"/>
  <c r="A13" i="1"/>
  <c r="A14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L30" i="1"/>
  <c r="L31" i="1" s="1"/>
  <c r="L32" i="1" s="1"/>
  <c r="A30" i="1"/>
  <c r="A29" i="1"/>
  <c r="A28" i="1"/>
  <c r="A27" i="1"/>
  <c r="A26" i="1"/>
  <c r="A25" i="1"/>
  <c r="A24" i="1"/>
  <c r="A23" i="1"/>
  <c r="A22" i="1"/>
  <c r="A21" i="1"/>
  <c r="A19" i="1"/>
  <c r="A18" i="1"/>
  <c r="A17" i="1"/>
  <c r="A16" i="1"/>
  <c r="A15" i="1"/>
  <c r="L10" i="1"/>
  <c r="L11" i="1" s="1"/>
  <c r="L12" i="1" s="1"/>
  <c r="L13" i="1" s="1"/>
  <c r="A10" i="1"/>
  <c r="A9" i="1"/>
  <c r="A7" i="1"/>
  <c r="A6" i="1"/>
  <c r="A5" i="1"/>
  <c r="L2" i="1"/>
  <c r="L4" i="1" s="1"/>
  <c r="E4" i="2" s="1"/>
  <c r="A2" i="1"/>
  <c r="I6" i="2" l="1"/>
  <c r="J6" i="2" s="1"/>
  <c r="L51" i="1"/>
  <c r="L52" i="1" s="1"/>
  <c r="L53" i="1" s="1"/>
  <c r="L55" i="1" s="1"/>
  <c r="L56" i="1" s="1"/>
  <c r="L57" i="1" s="1"/>
  <c r="L58" i="1" s="1"/>
  <c r="L50" i="1"/>
  <c r="L36" i="1"/>
  <c r="L37" i="1" s="1"/>
  <c r="L18" i="1"/>
  <c r="L19" i="1" s="1"/>
  <c r="L21" i="1" s="1"/>
  <c r="L22" i="1" s="1"/>
  <c r="L23" i="1" s="1"/>
  <c r="L24" i="1" s="1"/>
  <c r="E5" i="2"/>
  <c r="L5" i="1"/>
  <c r="L26" i="1" l="1"/>
  <c r="L27" i="1" s="1"/>
  <c r="L28" i="1" s="1"/>
  <c r="L25" i="1"/>
  <c r="L39" i="1"/>
  <c r="L40" i="1" s="1"/>
  <c r="L38" i="1"/>
  <c r="L6" i="1"/>
  <c r="L41" i="1" l="1"/>
  <c r="L7" i="1"/>
  <c r="G4" i="2" l="1"/>
  <c r="G3" i="2"/>
  <c r="L42" i="1"/>
  <c r="L9" i="1"/>
  <c r="H4" i="2"/>
  <c r="H5" i="2"/>
  <c r="H3" i="2"/>
  <c r="F4" i="2" l="1"/>
  <c r="F3" i="2"/>
  <c r="D4" i="2"/>
  <c r="B4" i="2"/>
  <c r="I5" i="2" l="1"/>
  <c r="J5" i="2" s="1"/>
  <c r="I4" i="2"/>
  <c r="J3" i="2"/>
  <c r="C3" i="2" l="1"/>
  <c r="C6" i="2"/>
  <c r="J4" i="2"/>
  <c r="I8" i="2"/>
  <c r="D8" i="2"/>
  <c r="E8" i="2"/>
  <c r="G8" i="2"/>
  <c r="H8" i="2"/>
  <c r="F8" i="2"/>
  <c r="C4" i="2"/>
  <c r="C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</rPr>
          <t>케이스 번호, 카운트 용도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</rPr>
          <t>프로그램의 가장 큰단위로 나눌 수 있는 시스템 범주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</rPr>
          <t>모듈의 집합을 알기 쉽도록 명칭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</rPr>
          <t>모듈단위 분류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</rPr>
          <t>사용자가 케이스의 내용을 빠르게 파악할 수 있도록 요약함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</rPr>
          <t>실행방법 실행전 충족되야하는 조건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</rPr>
          <t>해당 케이스의 직접적인 실행 순서를 작성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</rPr>
          <t>실행 순서에 대해 기대되는 결과를 입력</t>
        </r>
      </text>
    </comment>
    <comment ref="J1" authorId="0" shapeId="0" xr:uid="{00000000-0006-0000-0000-000009000000}">
      <text>
        <r>
          <rPr>
            <sz val="10"/>
            <color rgb="FF000000"/>
            <rFont val="Arial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<sst xmlns="http://schemas.openxmlformats.org/spreadsheetml/2006/main" count="659" uniqueCount="306">
  <si>
    <t>No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</si>
  <si>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</si>
  <si>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</si>
  <si>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</si>
  <si>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</si>
  <si>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</si>
  <si>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</si>
  <si>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</si>
  <si>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</si>
  <si>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</si>
  <si>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</si>
  <si>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게임실행</t>
  </si>
  <si>
    <t>클라이언트를 실행한다</t>
  </si>
  <si>
    <t>Pass</t>
  </si>
  <si>
    <t>Pass: 테스트 성공</t>
  </si>
  <si>
    <t>윈도우기능</t>
  </si>
  <si>
    <t>제목/아이콘 표시</t>
  </si>
  <si>
    <t>좁은창에서 제목표시줄 내용을 확인한다</t>
  </si>
  <si>
    <t>1. 윈도우 타이틀바를 확인한다</t>
  </si>
  <si>
    <t>Fail</t>
  </si>
  <si>
    <t>넓은창에서 제목표시줄을 내용을 확인한다</t>
  </si>
  <si>
    <t>Block</t>
  </si>
  <si>
    <t>최소화</t>
  </si>
  <si>
    <t>윈도우를 최소화 후 복귀한다</t>
  </si>
  <si>
    <t>인게임 시작전</t>
  </si>
  <si>
    <t>1. 게임이 최소화 되었다 복구된다</t>
  </si>
  <si>
    <t>N/A</t>
  </si>
  <si>
    <t>게임중 윈도우를 최소화 후 복귀한다</t>
  </si>
  <si>
    <t>인게임 시작후</t>
  </si>
  <si>
    <t>1. 윈도우 최소화버튼 클릭
2. 일정 시간 대기(대략 3초)
2. 윈도우 작업표시줄에서 지뢰찾기 클릭</t>
  </si>
  <si>
    <t>1. 게임이 최소화 되었다 복구된다
2. 진행중이던 게임의 카운터가 최소화 시간 동안 멈춰있는다</t>
  </si>
  <si>
    <t>N/T</t>
  </si>
  <si>
    <t>닫기</t>
  </si>
  <si>
    <t>메뉴기능</t>
  </si>
  <si>
    <t>인게임기능</t>
  </si>
  <si>
    <t>분류</t>
  </si>
  <si>
    <t>개수</t>
  </si>
  <si>
    <t>비율</t>
  </si>
  <si>
    <t>Total</t>
  </si>
  <si>
    <t>Total(%)</t>
  </si>
  <si>
    <t>테스트케이스 현황</t>
    <phoneticPr fontId="7" type="noConversion"/>
  </si>
  <si>
    <r>
      <t>1. "</t>
    </r>
    <r>
      <rPr>
        <sz val="9"/>
        <rFont val="Verdana"/>
        <family val="3"/>
      </rPr>
      <t>Operation:Snackstorm.exe</t>
    </r>
    <r>
      <rPr>
        <sz val="9"/>
        <rFont val="Verdana"/>
        <family val="2"/>
      </rPr>
      <t xml:space="preserve">" </t>
    </r>
    <r>
      <rPr>
        <sz val="9"/>
        <rFont val="맑은 고딕"/>
        <family val="3"/>
        <charset val="129"/>
      </rPr>
      <t>파일실행</t>
    </r>
    <phoneticPr fontId="7" type="noConversion"/>
  </si>
  <si>
    <t>실행</t>
    <phoneticPr fontId="7" type="noConversion"/>
  </si>
  <si>
    <t>버전확인</t>
    <phoneticPr fontId="7" type="noConversion"/>
  </si>
  <si>
    <t>타이틀 하단에 표시되는 빌드 버전이 문서의 버전과 일치하는지 확인한다</t>
    <phoneticPr fontId="7" type="noConversion"/>
  </si>
  <si>
    <t>타이틀화면 진입</t>
    <phoneticPr fontId="7" type="noConversion"/>
  </si>
  <si>
    <r>
      <t xml:space="preserve">1. </t>
    </r>
    <r>
      <rPr>
        <sz val="9"/>
        <rFont val="맑은 고딕"/>
        <family val="2"/>
        <charset val="129"/>
      </rPr>
      <t>하단 버전 표기 확인</t>
    </r>
    <phoneticPr fontId="7" type="noConversion"/>
  </si>
  <si>
    <t>타이틀 화면이 정상적으로 표시</t>
    <phoneticPr fontId="7" type="noConversion"/>
  </si>
  <si>
    <t>빌드 버전이 기획문서와 동일하다</t>
    <phoneticPr fontId="7" type="noConversion"/>
  </si>
  <si>
    <r>
      <rPr>
        <sz val="9"/>
        <rFont val="맑은 고딕"/>
        <family val="2"/>
        <charset val="129"/>
      </rPr>
      <t>타이틀화면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진입</t>
    </r>
    <phoneticPr fontId="7" type="noConversion"/>
  </si>
  <si>
    <t>대분류</t>
    <phoneticPr fontId="7" type="noConversion"/>
  </si>
  <si>
    <r>
      <rPr>
        <sz val="9"/>
        <rFont val="맑은 고딕"/>
        <family val="3"/>
        <charset val="129"/>
      </rPr>
      <t>윈도우를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닫는다</t>
    </r>
    <phoneticPr fontId="7" type="noConversion"/>
  </si>
  <si>
    <t>종료</t>
    <phoneticPr fontId="7" type="noConversion"/>
  </si>
  <si>
    <r>
      <t>Alt+F4</t>
    </r>
    <r>
      <rPr>
        <sz val="9"/>
        <rFont val="맑은 고딕"/>
        <family val="2"/>
        <charset val="129"/>
      </rPr>
      <t>를 눌러 즉시 끈다</t>
    </r>
    <phoneticPr fontId="7" type="noConversion"/>
  </si>
  <si>
    <t>로비</t>
    <phoneticPr fontId="7" type="noConversion"/>
  </si>
  <si>
    <t>이름 생성</t>
    <phoneticPr fontId="7" type="noConversion"/>
  </si>
  <si>
    <t>방생성</t>
    <phoneticPr fontId="7" type="noConversion"/>
  </si>
  <si>
    <t>방찾기</t>
    <phoneticPr fontId="7" type="noConversion"/>
  </si>
  <si>
    <t>네트워크 끊김 복구</t>
    <phoneticPr fontId="7" type="noConversion"/>
  </si>
  <si>
    <t>이름을 입력한다</t>
    <phoneticPr fontId="7" type="noConversion"/>
  </si>
  <si>
    <t>메뉴기능</t>
    <phoneticPr fontId="7" type="noConversion"/>
  </si>
  <si>
    <t>행동 취소</t>
    <phoneticPr fontId="7" type="noConversion"/>
  </si>
  <si>
    <t>1라운드가 시작한다</t>
    <phoneticPr fontId="7" type="noConversion"/>
  </si>
  <si>
    <t>게임 카운트가 시작된다</t>
    <phoneticPr fontId="7" type="noConversion"/>
  </si>
  <si>
    <t>타이머가 종료되는가</t>
    <phoneticPr fontId="7" type="noConversion"/>
  </si>
  <si>
    <t>매점 아이템을 구매한다</t>
    <phoneticPr fontId="7" type="noConversion"/>
  </si>
  <si>
    <t>자판기 아이템을 구매한다</t>
    <phoneticPr fontId="7" type="noConversion"/>
  </si>
  <si>
    <t>인벤토리가 제한 된다</t>
    <phoneticPr fontId="7" type="noConversion"/>
  </si>
  <si>
    <t>아이템을 드랍한다</t>
    <phoneticPr fontId="7" type="noConversion"/>
  </si>
  <si>
    <t>드랍된 아이템을 회수할 수 있다</t>
    <phoneticPr fontId="7" type="noConversion"/>
  </si>
  <si>
    <t>벌점이 부여된다</t>
    <phoneticPr fontId="7" type="noConversion"/>
  </si>
  <si>
    <t>상점이 부여된다</t>
    <phoneticPr fontId="7" type="noConversion"/>
  </si>
  <si>
    <t>점수판이 나온다</t>
    <phoneticPr fontId="7" type="noConversion"/>
  </si>
  <si>
    <t>미니게임이 진행된다</t>
    <phoneticPr fontId="7" type="noConversion"/>
  </si>
  <si>
    <r>
      <rPr>
        <sz val="9"/>
        <rFont val="Verdana"/>
        <family val="3"/>
      </rPr>
      <t>ai</t>
    </r>
    <r>
      <rPr>
        <sz val="9"/>
        <rFont val="맑은 고딕"/>
        <family val="3"/>
        <charset val="129"/>
      </rPr>
      <t>가 인식한다</t>
    </r>
    <phoneticPr fontId="7" type="noConversion"/>
  </si>
  <si>
    <r>
      <t>1</t>
    </r>
    <r>
      <rPr>
        <sz val="10"/>
        <color rgb="FF000000"/>
        <rFont val="맑은 고딕"/>
        <family val="3"/>
        <charset val="129"/>
      </rPr>
      <t>라운드</t>
    </r>
    <phoneticPr fontId="7" type="noConversion"/>
  </si>
  <si>
    <t>게임시작</t>
    <phoneticPr fontId="7" type="noConversion"/>
  </si>
  <si>
    <t>카운트</t>
    <phoneticPr fontId="7" type="noConversion"/>
  </si>
  <si>
    <t>아이템 구매</t>
    <phoneticPr fontId="7" type="noConversion"/>
  </si>
  <si>
    <t>아이템 드랍</t>
    <phoneticPr fontId="7" type="noConversion"/>
  </si>
  <si>
    <t>상벌점</t>
    <phoneticPr fontId="7" type="noConversion"/>
  </si>
  <si>
    <t>점수</t>
    <phoneticPr fontId="7" type="noConversion"/>
  </si>
  <si>
    <t>미니게임</t>
    <phoneticPr fontId="7" type="noConversion"/>
  </si>
  <si>
    <t>ai</t>
    <phoneticPr fontId="7" type="noConversion"/>
  </si>
  <si>
    <r>
      <t>ai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움직인다</t>
    </r>
    <phoneticPr fontId="7" type="noConversion"/>
  </si>
  <si>
    <r>
      <t>ai</t>
    </r>
    <r>
      <rPr>
        <sz val="9"/>
        <rFont val="맑은 고딕"/>
        <family val="2"/>
        <charset val="129"/>
      </rPr>
      <t>에게 잡힌다</t>
    </r>
    <phoneticPr fontId="7" type="noConversion"/>
  </si>
  <si>
    <t>인벤토리가 열린다</t>
    <phoneticPr fontId="7" type="noConversion"/>
  </si>
  <si>
    <t>인벤토리</t>
    <phoneticPr fontId="7" type="noConversion"/>
  </si>
  <si>
    <t>2라운드</t>
    <phoneticPr fontId="7" type="noConversion"/>
  </si>
  <si>
    <t>2라운드가 시작한다</t>
    <phoneticPr fontId="7" type="noConversion"/>
  </si>
  <si>
    <t>3라운드가 시작한다</t>
    <phoneticPr fontId="7" type="noConversion"/>
  </si>
  <si>
    <t>방을 생성한다</t>
    <phoneticPr fontId="7" type="noConversion"/>
  </si>
  <si>
    <r>
      <rPr>
        <sz val="9"/>
        <rFont val="맑은 고딕"/>
        <family val="3"/>
        <charset val="129"/>
      </rPr>
      <t>방을</t>
    </r>
    <r>
      <rPr>
        <sz val="9"/>
        <rFont val="Verdana"/>
        <family val="3"/>
      </rPr>
      <t xml:space="preserve"> </t>
    </r>
    <r>
      <rPr>
        <sz val="9"/>
        <rFont val="맑은 고딕"/>
        <family val="3"/>
        <charset val="129"/>
      </rPr>
      <t>들어간다</t>
    </r>
    <phoneticPr fontId="7" type="noConversion"/>
  </si>
  <si>
    <t>연결이 끊겼을 때 다시 연결되는지 확인한다</t>
    <phoneticPr fontId="7" type="noConversion"/>
  </si>
  <si>
    <t>행동을 취소한다</t>
    <phoneticPr fontId="7" type="noConversion"/>
  </si>
  <si>
    <t>이름을 생성한 후</t>
    <phoneticPr fontId="7" type="noConversion"/>
  </si>
  <si>
    <t>이미 생성된 방이 있을경우</t>
    <phoneticPr fontId="7" type="noConversion"/>
  </si>
  <si>
    <t>생성을 하기 전에</t>
    <phoneticPr fontId="7" type="noConversion"/>
  </si>
  <si>
    <t>대기실에 들어간 후</t>
    <phoneticPr fontId="7" type="noConversion"/>
  </si>
  <si>
    <r>
      <t>아이템을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먹은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후</t>
    </r>
  </si>
  <si>
    <r>
      <t>1.</t>
    </r>
    <r>
      <rPr>
        <sz val="9"/>
        <rFont val="맑은 고딕"/>
        <family val="2"/>
        <charset val="129"/>
      </rPr>
      <t>이름을 입력한다</t>
    </r>
    <phoneticPr fontId="7" type="noConversion"/>
  </si>
  <si>
    <r>
      <t>1.</t>
    </r>
    <r>
      <rPr>
        <sz val="9"/>
        <rFont val="맑은 고딕"/>
        <family val="2"/>
        <charset val="129"/>
      </rPr>
      <t>방 생성을 한후</t>
    </r>
    <r>
      <rPr>
        <sz val="9"/>
        <rFont val="Verdana"/>
        <family val="2"/>
      </rPr>
      <t xml:space="preserve"> 2.</t>
    </r>
    <r>
      <rPr>
        <sz val="9"/>
        <rFont val="맑은 고딕"/>
        <family val="2"/>
        <charset val="129"/>
      </rPr>
      <t>이름을 입력한다 3.생성을 누른다</t>
    </r>
    <phoneticPr fontId="7" type="noConversion"/>
  </si>
  <si>
    <r>
      <t>1.</t>
    </r>
    <r>
      <rPr>
        <sz val="9"/>
        <rFont val="맑은 고딕"/>
        <family val="2"/>
        <charset val="129"/>
      </rPr>
      <t>대기실을 누른다</t>
    </r>
    <phoneticPr fontId="7" type="noConversion"/>
  </si>
  <si>
    <r>
      <t xml:space="preserve">1. </t>
    </r>
    <r>
      <rPr>
        <sz val="9"/>
        <rFont val="맑은 고딕"/>
        <family val="2"/>
        <charset val="129"/>
      </rPr>
      <t>기다린다</t>
    </r>
    <phoneticPr fontId="7" type="noConversion"/>
  </si>
  <si>
    <r>
      <t>1.esc</t>
    </r>
    <r>
      <rPr>
        <sz val="9"/>
        <rFont val="맑은 고딕"/>
        <family val="2"/>
        <charset val="129"/>
      </rPr>
      <t>를 누른다</t>
    </r>
    <r>
      <rPr>
        <sz val="9"/>
        <rFont val="Verdana"/>
        <family val="2"/>
      </rPr>
      <t xml:space="preserve"> 2.</t>
    </r>
    <r>
      <rPr>
        <sz val="9"/>
        <rFont val="맑은 고딕"/>
        <family val="2"/>
        <charset val="129"/>
      </rPr>
      <t>x ui를 누른다</t>
    </r>
    <phoneticPr fontId="7" type="noConversion"/>
  </si>
  <si>
    <t>1. 오른쪽 상단에 숫자가 준다</t>
    <phoneticPr fontId="7" type="noConversion"/>
  </si>
  <si>
    <r>
      <t xml:space="preserve">1. </t>
    </r>
    <r>
      <rPr>
        <sz val="9"/>
        <rFont val="맑은 고딕"/>
        <family val="2"/>
        <charset val="129"/>
      </rPr>
      <t>오른쪽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상단에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숫자가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0가 된다.</t>
    </r>
    <phoneticPr fontId="7" type="noConversion"/>
  </si>
  <si>
    <r>
      <t>1.</t>
    </r>
    <r>
      <rPr>
        <sz val="9"/>
        <rFont val="맑은 고딕"/>
        <family val="2"/>
        <charset val="129"/>
      </rPr>
      <t xml:space="preserve">매점에서 </t>
    </r>
    <r>
      <rPr>
        <sz val="9"/>
        <rFont val="Verdana"/>
        <family val="2"/>
      </rPr>
      <t>npc</t>
    </r>
    <r>
      <rPr>
        <sz val="9"/>
        <rFont val="맑은 고딕"/>
        <family val="2"/>
        <charset val="129"/>
      </rPr>
      <t>를 클릭한다  2.살 아이템을 고른다.</t>
    </r>
    <phoneticPr fontId="7" type="noConversion"/>
  </si>
  <si>
    <r>
      <t xml:space="preserve">1. </t>
    </r>
    <r>
      <rPr>
        <sz val="9"/>
        <rFont val="맑은 고딕"/>
        <family val="2"/>
        <charset val="129"/>
      </rPr>
      <t>자판기를 클릭한다. 2. 살 간식의 버튼을 누른다</t>
    </r>
    <phoneticPr fontId="7" type="noConversion"/>
  </si>
  <si>
    <r>
      <t>e</t>
    </r>
    <r>
      <rPr>
        <sz val="9"/>
        <rFont val="맑은 고딕"/>
        <family val="2"/>
        <charset val="129"/>
      </rPr>
      <t>키를 누른다</t>
    </r>
    <phoneticPr fontId="7" type="noConversion"/>
  </si>
  <si>
    <r>
      <t>1.e</t>
    </r>
    <r>
      <rPr>
        <sz val="9"/>
        <rFont val="맑은 고딕"/>
        <family val="2"/>
        <charset val="129"/>
      </rPr>
      <t>키를 눌러 인벤토리를 연다.  2.떨어뜨릴 아이템을 누른다</t>
    </r>
    <phoneticPr fontId="7" type="noConversion"/>
  </si>
  <si>
    <r>
      <t xml:space="preserve">1. </t>
    </r>
    <r>
      <rPr>
        <sz val="10"/>
        <color rgb="FF000000"/>
        <rFont val="맑은 고딕"/>
        <family val="3"/>
        <charset val="129"/>
      </rPr>
      <t>간식을 먹어 아이템을 다 채운다. 2.</t>
    </r>
    <r>
      <rPr>
        <sz val="10"/>
        <color rgb="FF000000"/>
        <rFont val="Arial"/>
        <family val="3"/>
      </rPr>
      <t>e</t>
    </r>
    <r>
      <rPr>
        <sz val="10"/>
        <color rgb="FF000000"/>
        <rFont val="맑은 고딕"/>
        <family val="3"/>
        <charset val="129"/>
      </rPr>
      <t>키를 눌러 확인한다. 3. 아이템을 본다</t>
    </r>
    <phoneticPr fontId="7" type="noConversion"/>
  </si>
  <si>
    <t>리셋</t>
    <phoneticPr fontId="7" type="noConversion"/>
  </si>
  <si>
    <t>인벤토리의 아이템이 리셋된다</t>
    <phoneticPr fontId="7" type="noConversion"/>
  </si>
  <si>
    <r>
      <t>1.</t>
    </r>
    <r>
      <rPr>
        <sz val="9"/>
        <rFont val="맑은 고딕"/>
        <family val="2"/>
        <charset val="129"/>
      </rPr>
      <t>인벤토리에서 아이템을 든다. 2. 아이템을 떨어뜨린다. 3. 아이템을 집는다</t>
    </r>
    <phoneticPr fontId="7" type="noConversion"/>
  </si>
  <si>
    <r>
      <t xml:space="preserve">1. </t>
    </r>
    <r>
      <rPr>
        <sz val="9"/>
        <rFont val="맑은 고딕"/>
        <family val="2"/>
        <charset val="129"/>
      </rPr>
      <t>미니게임을 한다, 1.규칙을 위반한다. 2. 벌점을 받는다</t>
    </r>
    <phoneticPr fontId="7" type="noConversion"/>
  </si>
  <si>
    <r>
      <t xml:space="preserve">1. </t>
    </r>
    <r>
      <rPr>
        <sz val="9"/>
        <rFont val="맑은 고딕"/>
        <family val="2"/>
        <charset val="129"/>
      </rPr>
      <t>미니게임을 한다, 2. 성공한다</t>
    </r>
    <phoneticPr fontId="7" type="noConversion"/>
  </si>
  <si>
    <r>
      <t>1</t>
    </r>
    <r>
      <rPr>
        <sz val="9"/>
        <rFont val="맑은 고딕"/>
        <family val="2"/>
        <charset val="129"/>
      </rPr>
      <t>라운드가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끝났을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때</t>
    </r>
    <phoneticPr fontId="7" type="noConversion"/>
  </si>
  <si>
    <t>시간이 끝날 때 까지 게임 진행</t>
    <phoneticPr fontId="7" type="noConversion"/>
  </si>
  <si>
    <r>
      <t xml:space="preserve">npc </t>
    </r>
    <r>
      <rPr>
        <sz val="9"/>
        <rFont val="맑은 고딕"/>
        <family val="2"/>
        <charset val="129"/>
      </rPr>
      <t>만날 때 까지 게임 진행</t>
    </r>
    <phoneticPr fontId="7" type="noConversion"/>
  </si>
  <si>
    <r>
      <t>1. npc</t>
    </r>
    <r>
      <rPr>
        <sz val="9"/>
        <rFont val="맑은 고딕"/>
        <family val="2"/>
        <charset val="129"/>
      </rPr>
      <t>를 만난다</t>
    </r>
    <r>
      <rPr>
        <sz val="9"/>
        <rFont val="Verdana"/>
        <family val="2"/>
      </rPr>
      <t xml:space="preserve">  2.</t>
    </r>
    <r>
      <rPr>
        <sz val="9"/>
        <rFont val="맑은 고딕"/>
        <family val="2"/>
        <charset val="129"/>
      </rPr>
      <t>npc 범위 안으로 들어간다</t>
    </r>
    <phoneticPr fontId="7" type="noConversion"/>
  </si>
  <si>
    <r>
      <t>1. npc</t>
    </r>
    <r>
      <rPr>
        <sz val="10"/>
        <color rgb="FF000000"/>
        <rFont val="맑은 고딕"/>
        <family val="3"/>
        <charset val="129"/>
      </rPr>
      <t xml:space="preserve"> 범위 안으로 들어간다.  2. npc와 가까워진다.</t>
    </r>
    <phoneticPr fontId="7" type="noConversion"/>
  </si>
  <si>
    <r>
      <t>1. 2</t>
    </r>
    <r>
      <rPr>
        <sz val="9"/>
        <rFont val="맑은 고딕"/>
        <family val="2"/>
        <charset val="129"/>
      </rPr>
      <t>라운드에 인벤토리를 확인한다</t>
    </r>
    <phoneticPr fontId="7" type="noConversion"/>
  </si>
  <si>
    <r>
      <t>1. 2</t>
    </r>
    <r>
      <rPr>
        <sz val="9"/>
        <rFont val="맑은 고딕"/>
        <family val="2"/>
        <charset val="129"/>
      </rPr>
      <t>라운드에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툴바를 확인한다.</t>
    </r>
    <phoneticPr fontId="7" type="noConversion"/>
  </si>
  <si>
    <t>툴바의 아이템을 확인한다.</t>
    <phoneticPr fontId="7" type="noConversion"/>
  </si>
  <si>
    <t>된다</t>
    <phoneticPr fontId="7" type="noConversion"/>
  </si>
  <si>
    <t>된다.</t>
    <phoneticPr fontId="7" type="noConversion"/>
  </si>
  <si>
    <t>다음화면으로 넘어간다</t>
    <phoneticPr fontId="7" type="noConversion"/>
  </si>
  <si>
    <t>대기실 화면이 보인다</t>
    <phoneticPr fontId="7" type="noConversion"/>
  </si>
  <si>
    <r>
      <rPr>
        <sz val="9"/>
        <rFont val="맑은 고딕"/>
        <family val="2"/>
        <charset val="129"/>
      </rPr>
      <t>대기실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화면이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보인다</t>
    </r>
    <phoneticPr fontId="7" type="noConversion"/>
  </si>
  <si>
    <t>다시 연결된다</t>
    <phoneticPr fontId="7" type="noConversion"/>
  </si>
  <si>
    <t>ui 창이 꺼진다.</t>
    <phoneticPr fontId="7" type="noConversion"/>
  </si>
  <si>
    <t>타이머 작동</t>
    <phoneticPr fontId="7" type="noConversion"/>
  </si>
  <si>
    <t>숫자가 줄어든다</t>
    <phoneticPr fontId="7" type="noConversion"/>
  </si>
  <si>
    <t>숫자가 0이 되고 다음 라운드를 기다린다</t>
    <phoneticPr fontId="7" type="noConversion"/>
  </si>
  <si>
    <t>아이템이 나온다</t>
    <phoneticPr fontId="7" type="noConversion"/>
  </si>
  <si>
    <r>
      <t xml:space="preserve">ui </t>
    </r>
    <r>
      <rPr>
        <sz val="9"/>
        <rFont val="맑은 고딕"/>
        <family val="2"/>
        <charset val="129"/>
      </rPr>
      <t>가 뜬다</t>
    </r>
    <phoneticPr fontId="7" type="noConversion"/>
  </si>
  <si>
    <r>
      <rPr>
        <sz val="9"/>
        <rFont val="맑은 고딕"/>
        <family val="3"/>
        <charset val="129"/>
      </rPr>
      <t>아이템이</t>
    </r>
    <r>
      <rPr>
        <sz val="9"/>
        <rFont val="Verdana"/>
        <family val="3"/>
      </rPr>
      <t xml:space="preserve"> </t>
    </r>
    <r>
      <rPr>
        <sz val="9"/>
        <rFont val="맑은 고딕"/>
        <family val="3"/>
        <charset val="129"/>
      </rPr>
      <t>먹어지지 않는다</t>
    </r>
    <phoneticPr fontId="7" type="noConversion"/>
  </si>
  <si>
    <t>아이템을 손에 든다</t>
    <phoneticPr fontId="7" type="noConversion"/>
  </si>
  <si>
    <t>아이템이 인벤토리에 들어온다</t>
    <phoneticPr fontId="7" type="noConversion"/>
  </si>
  <si>
    <r>
      <rPr>
        <sz val="9"/>
        <rFont val="맑은 고딕"/>
        <family val="3"/>
        <charset val="129"/>
      </rPr>
      <t xml:space="preserve">벌점이 부여된 </t>
    </r>
    <r>
      <rPr>
        <sz val="9"/>
        <rFont val="Verdana"/>
        <family val="3"/>
      </rPr>
      <t xml:space="preserve">ui </t>
    </r>
    <r>
      <rPr>
        <sz val="9"/>
        <rFont val="맑은 고딕"/>
        <family val="3"/>
        <charset val="129"/>
      </rPr>
      <t>가 뜬다</t>
    </r>
    <phoneticPr fontId="7" type="noConversion"/>
  </si>
  <si>
    <r>
      <rPr>
        <sz val="9"/>
        <rFont val="맑은 고딕"/>
        <family val="3"/>
        <charset val="129"/>
      </rPr>
      <t xml:space="preserve">상점이 부여된 </t>
    </r>
    <r>
      <rPr>
        <sz val="9"/>
        <rFont val="Verdana"/>
        <family val="3"/>
      </rPr>
      <t>ui</t>
    </r>
    <r>
      <rPr>
        <sz val="9"/>
        <rFont val="맑은 고딕"/>
        <family val="3"/>
        <charset val="129"/>
      </rPr>
      <t>가 뜬다</t>
    </r>
    <phoneticPr fontId="7" type="noConversion"/>
  </si>
  <si>
    <t>npc 가 따라오기 시작</t>
    <phoneticPr fontId="7" type="noConversion"/>
  </si>
  <si>
    <r>
      <rPr>
        <sz val="9"/>
        <rFont val="Verdana"/>
        <family val="3"/>
      </rPr>
      <t>npc</t>
    </r>
    <r>
      <rPr>
        <sz val="9"/>
        <rFont val="맑은 고딕"/>
        <family val="3"/>
        <charset val="129"/>
      </rPr>
      <t>가 움직인다</t>
    </r>
    <phoneticPr fontId="7" type="noConversion"/>
  </si>
  <si>
    <t>교실로 돌아와지고 아이템이 사라진다.</t>
    <phoneticPr fontId="7" type="noConversion"/>
  </si>
  <si>
    <t>아이템이 전부 사라진다</t>
    <phoneticPr fontId="7" type="noConversion"/>
  </si>
  <si>
    <t>아이템이 적용되고 돌아온다</t>
    <phoneticPr fontId="7" type="noConversion"/>
  </si>
  <si>
    <r>
      <t>1</t>
    </r>
    <r>
      <rPr>
        <sz val="9"/>
        <rFont val="돋움"/>
        <family val="3"/>
        <charset val="129"/>
      </rPr>
      <t>라운드가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끝났을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때</t>
    </r>
    <phoneticPr fontId="7" type="noConversion"/>
  </si>
  <si>
    <t>라운드가 전부 끝난다</t>
    <phoneticPr fontId="7" type="noConversion"/>
  </si>
  <si>
    <t>적용된 결과가 나온다</t>
    <phoneticPr fontId="7" type="noConversion"/>
  </si>
  <si>
    <r>
      <rPr>
        <sz val="9"/>
        <rFont val="맑은 고딕"/>
        <family val="2"/>
        <charset val="129"/>
      </rPr>
      <t>2라운드가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끝났을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때</t>
    </r>
    <phoneticPr fontId="7" type="noConversion"/>
  </si>
  <si>
    <r>
      <t>2</t>
    </r>
    <r>
      <rPr>
        <sz val="9"/>
        <rFont val="맑은 고딕"/>
        <family val="2"/>
        <charset val="129"/>
      </rPr>
      <t>라운드가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끝났을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때</t>
    </r>
    <phoneticPr fontId="7" type="noConversion"/>
  </si>
  <si>
    <r>
      <t>1. 3</t>
    </r>
    <r>
      <rPr>
        <sz val="9"/>
        <rFont val="맑은 고딕"/>
        <family val="2"/>
        <charset val="129"/>
      </rPr>
      <t>라운드에 인벤토리를 확인한다</t>
    </r>
    <phoneticPr fontId="7" type="noConversion"/>
  </si>
  <si>
    <r>
      <t>1. 3</t>
    </r>
    <r>
      <rPr>
        <sz val="9"/>
        <rFont val="맑은 고딕"/>
        <family val="2"/>
        <charset val="129"/>
      </rPr>
      <t>라운드에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툴바를 확인한다.</t>
    </r>
    <phoneticPr fontId="7" type="noConversion"/>
  </si>
  <si>
    <t>라운드가 끝난 후</t>
    <phoneticPr fontId="7" type="noConversion"/>
  </si>
  <si>
    <t>맵</t>
    <phoneticPr fontId="7" type="noConversion"/>
  </si>
  <si>
    <t>충돌이 일어난다</t>
    <phoneticPr fontId="7" type="noConversion"/>
  </si>
  <si>
    <t>벽에 부딪혔을 때</t>
    <phoneticPr fontId="7" type="noConversion"/>
  </si>
  <si>
    <r>
      <t xml:space="preserve">1. </t>
    </r>
    <r>
      <rPr>
        <sz val="9"/>
        <rFont val="맑은 고딕"/>
        <family val="2"/>
        <charset val="129"/>
      </rPr>
      <t>벽에 붙는다</t>
    </r>
    <phoneticPr fontId="7" type="noConversion"/>
  </si>
  <si>
    <t>그대로 멈춘다</t>
    <phoneticPr fontId="7" type="noConversion"/>
  </si>
  <si>
    <t>교장실 문이 열려있을 때</t>
    <phoneticPr fontId="7" type="noConversion"/>
  </si>
  <si>
    <t>교장실 안으로 들어간다</t>
    <phoneticPr fontId="7" type="noConversion"/>
  </si>
  <si>
    <r>
      <t xml:space="preserve">1. </t>
    </r>
    <r>
      <rPr>
        <sz val="9"/>
        <rFont val="맑은 고딕"/>
        <family val="2"/>
        <charset val="129"/>
      </rPr>
      <t>교장실 문이 열려있다. 2. 교장실 안으로 들어간다</t>
    </r>
    <phoneticPr fontId="7" type="noConversion"/>
  </si>
  <si>
    <t>라운드가 끝나고 교실로 돌아온다</t>
    <phoneticPr fontId="7" type="noConversion"/>
  </si>
  <si>
    <r>
      <t>1.</t>
    </r>
    <r>
      <rPr>
        <sz val="9"/>
        <rFont val="맑은 고딕"/>
        <family val="2"/>
        <charset val="129"/>
      </rPr>
      <t>라운드를 진행한다.</t>
    </r>
    <phoneticPr fontId="7" type="noConversion"/>
  </si>
  <si>
    <t>교실로 돌아와진다.</t>
    <phoneticPr fontId="7" type="noConversion"/>
  </si>
  <si>
    <t>라운드 진행</t>
    <phoneticPr fontId="7" type="noConversion"/>
  </si>
  <si>
    <t>이벤트</t>
    <phoneticPr fontId="7" type="noConversion"/>
  </si>
  <si>
    <t>소화기</t>
    <phoneticPr fontId="7" type="noConversion"/>
  </si>
  <si>
    <t>소화기가 터진다</t>
    <phoneticPr fontId="7" type="noConversion"/>
  </si>
  <si>
    <t>소화기에 다가갔을 때</t>
    <phoneticPr fontId="7" type="noConversion"/>
  </si>
  <si>
    <t>1. 소화기에 다가간다 2.앞이 뿌애진다</t>
    <phoneticPr fontId="7" type="noConversion"/>
  </si>
  <si>
    <t>앞이 뿌애진다</t>
    <phoneticPr fontId="7" type="noConversion"/>
  </si>
  <si>
    <t>소화기의 연기가 사라진다</t>
    <phoneticPr fontId="7" type="noConversion"/>
  </si>
  <si>
    <t>소화기가 터졌을 때</t>
    <phoneticPr fontId="7" type="noConversion"/>
  </si>
  <si>
    <r>
      <t>1.</t>
    </r>
    <r>
      <rPr>
        <sz val="9"/>
        <rFont val="맑은 고딕"/>
        <family val="2"/>
        <charset val="129"/>
      </rPr>
      <t>기다린다.  2.연기가 사라진다</t>
    </r>
    <phoneticPr fontId="7" type="noConversion"/>
  </si>
  <si>
    <t>소화기의 연기가 다른 플레이어의 시야를 가린다</t>
    <phoneticPr fontId="7" type="noConversion"/>
  </si>
  <si>
    <r>
      <t>1.</t>
    </r>
    <r>
      <rPr>
        <sz val="9"/>
        <rFont val="맑은 고딕"/>
        <family val="2"/>
        <charset val="129"/>
      </rPr>
      <t>근처에 플레이어와 함께 있을 때 소화기를 터트린다. 2. 플레이어의 반응을 지켜본다</t>
    </r>
    <phoneticPr fontId="7" type="noConversion"/>
  </si>
  <si>
    <t>npc가 따라오는 걸 멈춘다</t>
    <phoneticPr fontId="7" type="noConversion"/>
  </si>
  <si>
    <r>
      <t>1. npc</t>
    </r>
    <r>
      <rPr>
        <sz val="9"/>
        <rFont val="맑은 고딕"/>
        <family val="2"/>
        <charset val="129"/>
      </rPr>
      <t>가 따라오는 중에 소화기를 터트린다  2.</t>
    </r>
    <r>
      <rPr>
        <sz val="9"/>
        <rFont val="Verdana"/>
        <family val="2"/>
      </rPr>
      <t>npc</t>
    </r>
    <r>
      <rPr>
        <sz val="9"/>
        <rFont val="맑은 고딕"/>
        <family val="2"/>
        <charset val="129"/>
      </rPr>
      <t>가 행동을 멈춘다</t>
    </r>
    <phoneticPr fontId="7" type="noConversion"/>
  </si>
  <si>
    <t>이벤트 누락방지</t>
    <phoneticPr fontId="7" type="noConversion"/>
  </si>
  <si>
    <t>이벤트가 동시에 진행될 떄</t>
    <phoneticPr fontId="7" type="noConversion"/>
  </si>
  <si>
    <r>
      <t>1.</t>
    </r>
    <r>
      <rPr>
        <sz val="9"/>
        <rFont val="맑은 고딕"/>
        <family val="2"/>
        <charset val="129"/>
      </rPr>
      <t>이벤트가 동시에 진행된다.  2. 진행한다.  3. 끝낸다</t>
    </r>
    <phoneticPr fontId="7" type="noConversion"/>
  </si>
  <si>
    <t>이벤트들이 겹쳐서 오류가뜨지 않는다.</t>
    <phoneticPr fontId="7" type="noConversion"/>
  </si>
  <si>
    <t>점수보정</t>
    <phoneticPr fontId="7" type="noConversion"/>
  </si>
  <si>
    <t>이벤트 중 아이템 획득 시</t>
    <phoneticPr fontId="7" type="noConversion"/>
  </si>
  <si>
    <r>
      <t xml:space="preserve">1. </t>
    </r>
    <r>
      <rPr>
        <sz val="10"/>
        <color rgb="FF000000"/>
        <rFont val="맑은 고딕"/>
        <family val="2"/>
        <charset val="129"/>
      </rPr>
      <t>이벤트를 진행한다. 2. 아이템을 획득한다</t>
    </r>
    <phoneticPr fontId="7" type="noConversion"/>
  </si>
  <si>
    <t>인벤토리에 들어온다</t>
    <phoneticPr fontId="7" type="noConversion"/>
  </si>
  <si>
    <t>시간제한</t>
    <phoneticPr fontId="7" type="noConversion"/>
  </si>
  <si>
    <t>시간 제한이 있는 이벤트 발동</t>
    <phoneticPr fontId="7" type="noConversion"/>
  </si>
  <si>
    <r>
      <t>1.</t>
    </r>
    <r>
      <rPr>
        <sz val="9"/>
        <rFont val="맑은 고딕"/>
        <family val="2"/>
        <charset val="129"/>
      </rPr>
      <t>이벤트를 진행한다. 2. 이벤트 진행후 타이머가 사라지는 지확인한다</t>
    </r>
    <phoneticPr fontId="7" type="noConversion"/>
  </si>
  <si>
    <t>타이머가 사라진다</t>
    <phoneticPr fontId="7" type="noConversion"/>
  </si>
  <si>
    <t>네트워크</t>
    <phoneticPr fontId="7" type="noConversion"/>
  </si>
  <si>
    <t>동기화</t>
    <phoneticPr fontId="7" type="noConversion"/>
  </si>
  <si>
    <t>위치</t>
    <phoneticPr fontId="7" type="noConversion"/>
  </si>
  <si>
    <t>두 플레이어 간 위치 동기화 확인</t>
    <phoneticPr fontId="7" type="noConversion"/>
  </si>
  <si>
    <r>
      <t>2</t>
    </r>
    <r>
      <rPr>
        <sz val="9"/>
        <rFont val="맑은 고딕"/>
        <family val="2"/>
        <charset val="129"/>
      </rPr>
      <t>인 이상방</t>
    </r>
    <phoneticPr fontId="7" type="noConversion"/>
  </si>
  <si>
    <r>
      <t>1.</t>
    </r>
    <r>
      <rPr>
        <sz val="9"/>
        <rFont val="맑은 고딕"/>
        <family val="2"/>
        <charset val="129"/>
      </rPr>
      <t>이동비교</t>
    </r>
    <phoneticPr fontId="7" type="noConversion"/>
  </si>
  <si>
    <t>두명 다 같다</t>
    <phoneticPr fontId="7" type="noConversion"/>
  </si>
  <si>
    <t>아이템 획득</t>
    <phoneticPr fontId="7" type="noConversion"/>
  </si>
  <si>
    <t xml:space="preserve">동시에 아이템 획득 시 </t>
    <phoneticPr fontId="7" type="noConversion"/>
  </si>
  <si>
    <t>플레이어 간 동기화</t>
    <phoneticPr fontId="7" type="noConversion"/>
  </si>
  <si>
    <r>
      <t xml:space="preserve">1. </t>
    </r>
    <r>
      <rPr>
        <sz val="9"/>
        <rFont val="맑은 고딕"/>
        <family val="2"/>
        <charset val="129"/>
      </rPr>
      <t>아이템 접근  2. 아이템 획득</t>
    </r>
    <phoneticPr fontId="7" type="noConversion"/>
  </si>
  <si>
    <t>아이템 획득 시 사라진다</t>
    <phoneticPr fontId="7" type="noConversion"/>
  </si>
  <si>
    <t>npc 추격 동기화</t>
    <phoneticPr fontId="7" type="noConversion"/>
  </si>
  <si>
    <t>npc 추격</t>
    <phoneticPr fontId="7" type="noConversion"/>
  </si>
  <si>
    <r>
      <t>1. npc</t>
    </r>
    <r>
      <rPr>
        <sz val="9"/>
        <rFont val="맑은 고딕"/>
        <family val="2"/>
        <charset val="129"/>
      </rPr>
      <t>가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따라오게 한다</t>
    </r>
    <phoneticPr fontId="7" type="noConversion"/>
  </si>
  <si>
    <t>같은 타이밍에 한사람만 따라간다</t>
    <phoneticPr fontId="7" type="noConversion"/>
  </si>
  <si>
    <t>라운드 시작이 같다</t>
    <phoneticPr fontId="7" type="noConversion"/>
  </si>
  <si>
    <t>라운드 시작</t>
    <phoneticPr fontId="7" type="noConversion"/>
  </si>
  <si>
    <t>라운드 타이머가 돌아가는 타이밍이 같다</t>
    <phoneticPr fontId="7" type="noConversion"/>
  </si>
  <si>
    <t>타이머가 같다</t>
    <phoneticPr fontId="7" type="noConversion"/>
  </si>
  <si>
    <t>라운드 종료</t>
    <phoneticPr fontId="7" type="noConversion"/>
  </si>
  <si>
    <t>라운드 종료</t>
    <phoneticPr fontId="7" type="noConversion"/>
  </si>
  <si>
    <t>1.타이머가 끝난다 2.현 라운드가 끝이 난다</t>
    <phoneticPr fontId="7" type="noConversion"/>
  </si>
  <si>
    <t>아이템 드랍 동기화</t>
    <phoneticPr fontId="7" type="noConversion"/>
  </si>
  <si>
    <r>
      <rPr>
        <sz val="9"/>
        <rFont val="맑은 고딕"/>
        <family val="2"/>
        <charset val="129"/>
      </rPr>
      <t>아이템을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떨어뜨린 후</t>
    </r>
    <phoneticPr fontId="7" type="noConversion"/>
  </si>
  <si>
    <r>
      <t>1.</t>
    </r>
    <r>
      <rPr>
        <sz val="9"/>
        <rFont val="맑은 고딕"/>
        <family val="2"/>
        <charset val="129"/>
      </rPr>
      <t>아이템을 떨어뜨린다. 2. 아이템이 바닥에 떨어진다</t>
    </r>
    <phoneticPr fontId="7" type="noConversion"/>
  </si>
  <si>
    <t>바닥에 떨어진 아이템 확인</t>
    <phoneticPr fontId="7" type="noConversion"/>
  </si>
  <si>
    <t>점수판의 데이터가 같다</t>
    <phoneticPr fontId="7" type="noConversion"/>
  </si>
  <si>
    <r>
      <t xml:space="preserve">1. </t>
    </r>
    <r>
      <rPr>
        <sz val="9"/>
        <rFont val="맑은 고딕"/>
        <family val="2"/>
        <charset val="129"/>
      </rPr>
      <t>라운드가 종료된다. 2.플레이어 간의 점수가 같다</t>
    </r>
    <phoneticPr fontId="7" type="noConversion"/>
  </si>
  <si>
    <t>호스트변경</t>
    <phoneticPr fontId="7" type="noConversion"/>
  </si>
  <si>
    <t>서버의 주인이 나갈 시</t>
    <phoneticPr fontId="7" type="noConversion"/>
  </si>
  <si>
    <r>
      <t>1.</t>
    </r>
    <r>
      <rPr>
        <sz val="10"/>
        <color rgb="FF000000"/>
        <rFont val="맑은 고딕"/>
        <family val="2"/>
        <charset val="129"/>
      </rPr>
      <t>클라이언트가 나간다. 2.다른 사람이 클라이언트가 된다</t>
    </r>
    <phoneticPr fontId="7" type="noConversion"/>
  </si>
  <si>
    <t>클라이언트가 된다.</t>
    <phoneticPr fontId="7" type="noConversion"/>
  </si>
  <si>
    <t>비정상 종료</t>
    <phoneticPr fontId="7" type="noConversion"/>
  </si>
  <si>
    <t>항명이 나간다</t>
    <phoneticPr fontId="7" type="noConversion"/>
  </si>
  <si>
    <r>
      <t>1.</t>
    </r>
    <r>
      <rPr>
        <sz val="9"/>
        <rFont val="맑은 고딕"/>
        <family val="2"/>
        <charset val="129"/>
      </rPr>
      <t>남은 한명이 서버유지</t>
    </r>
    <phoneticPr fontId="7" type="noConversion"/>
  </si>
  <si>
    <t>유지된다</t>
    <phoneticPr fontId="7" type="noConversion"/>
  </si>
  <si>
    <t>이벤트 동기화</t>
    <phoneticPr fontId="7" type="noConversion"/>
  </si>
  <si>
    <t>이벤트가 일어난다</t>
    <phoneticPr fontId="7" type="noConversion"/>
  </si>
  <si>
    <r>
      <t xml:space="preserve">1. </t>
    </r>
    <r>
      <rPr>
        <sz val="9"/>
        <rFont val="맑은 고딕"/>
        <family val="2"/>
        <charset val="129"/>
      </rPr>
      <t xml:space="preserve">이벤트가 일어난다.  2. 다른 플레이어는 이벤트중인 </t>
    </r>
    <r>
      <rPr>
        <sz val="9"/>
        <rFont val="Verdana"/>
        <family val="2"/>
      </rPr>
      <t>npc</t>
    </r>
    <r>
      <rPr>
        <sz val="9"/>
        <rFont val="맑은 고딕"/>
        <family val="2"/>
        <charset val="129"/>
      </rPr>
      <t>및 플레이어가 보인다</t>
    </r>
    <phoneticPr fontId="7" type="noConversion"/>
  </si>
  <si>
    <t>성능</t>
    <phoneticPr fontId="7" type="noConversion"/>
  </si>
  <si>
    <t>10회 연속 재시작 후 안정성</t>
    <phoneticPr fontId="7" type="noConversion"/>
  </si>
  <si>
    <t>라운드 반복 로딘</t>
    <phoneticPr fontId="7" type="noConversion"/>
  </si>
  <si>
    <r>
      <t xml:space="preserve">gpu </t>
    </r>
    <r>
      <rPr>
        <sz val="9"/>
        <rFont val="맑은 고딕"/>
        <family val="2"/>
        <charset val="129"/>
      </rPr>
      <t>온도 상승</t>
    </r>
    <phoneticPr fontId="7" type="noConversion"/>
  </si>
  <si>
    <t>백그라운드 복귀</t>
    <phoneticPr fontId="7" type="noConversion"/>
  </si>
  <si>
    <t>프레임 유지</t>
    <phoneticPr fontId="7" type="noConversion"/>
  </si>
  <si>
    <t xml:space="preserve">인게임에서 평균 60프레임 이상 유지되는가 </t>
    <phoneticPr fontId="7" type="noConversion"/>
  </si>
  <si>
    <t>권장사항에 맞춰서</t>
    <phoneticPr fontId="7" type="noConversion"/>
  </si>
  <si>
    <r>
      <t>1.</t>
    </r>
    <r>
      <rPr>
        <sz val="10"/>
        <color rgb="FF000000"/>
        <rFont val="맑은 고딕"/>
        <family val="2"/>
        <charset val="129"/>
      </rPr>
      <t>게임을 진행한다</t>
    </r>
    <phoneticPr fontId="7" type="noConversion"/>
  </si>
  <si>
    <t>alt+tab 후 복귀 시 성능변화 확인</t>
    <phoneticPr fontId="7" type="noConversion"/>
  </si>
  <si>
    <t>게임실행중</t>
    <phoneticPr fontId="7" type="noConversion"/>
  </si>
  <si>
    <r>
      <t>1.</t>
    </r>
    <r>
      <rPr>
        <sz val="9"/>
        <rFont val="맑은 고딕"/>
        <family val="2"/>
        <charset val="129"/>
      </rPr>
      <t>창을 변경한다  2. 돌아온다</t>
    </r>
    <phoneticPr fontId="7" type="noConversion"/>
  </si>
  <si>
    <t>20분 플레이 후 온도확인</t>
    <phoneticPr fontId="7" type="noConversion"/>
  </si>
  <si>
    <t>사양 확인</t>
    <phoneticPr fontId="7" type="noConversion"/>
  </si>
  <si>
    <r>
      <t xml:space="preserve">1. </t>
    </r>
    <r>
      <rPr>
        <sz val="9"/>
        <rFont val="맑은 고딕"/>
        <family val="2"/>
        <charset val="129"/>
      </rPr>
      <t>온도 로그 확인</t>
    </r>
    <phoneticPr fontId="7" type="noConversion"/>
  </si>
  <si>
    <t>낮다</t>
    <phoneticPr fontId="7" type="noConversion"/>
  </si>
  <si>
    <t>일반사양 pc</t>
    <phoneticPr fontId="7" type="noConversion"/>
  </si>
  <si>
    <r>
      <t>1.</t>
    </r>
    <r>
      <rPr>
        <sz val="10"/>
        <color rgb="FF000000"/>
        <rFont val="맑은 고딕"/>
        <family val="2"/>
        <charset val="129"/>
      </rPr>
      <t>반복플레이</t>
    </r>
    <phoneticPr fontId="7" type="noConversion"/>
  </si>
  <si>
    <t>괜찮다.</t>
    <phoneticPr fontId="7" type="noConversion"/>
  </si>
  <si>
    <t>점수</t>
    <phoneticPr fontId="7" type="noConversion"/>
  </si>
  <si>
    <t>Block</t>
    <phoneticPr fontId="7" type="noConversion"/>
  </si>
  <si>
    <r>
      <t xml:space="preserve">1. </t>
    </r>
    <r>
      <rPr>
        <sz val="9"/>
        <rFont val="맑은 고딕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최소화버튼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 xml:space="preserve">클릭
</t>
    </r>
    <r>
      <rPr>
        <sz val="9"/>
        <rFont val="Verdana"/>
        <family val="2"/>
      </rPr>
      <t xml:space="preserve">2. </t>
    </r>
    <r>
      <rPr>
        <sz val="9"/>
        <rFont val="맑은 고딕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작업표시줄에서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클릭</t>
    </r>
    <phoneticPr fontId="7" type="noConversion"/>
  </si>
  <si>
    <r>
      <t xml:space="preserve">1. </t>
    </r>
    <r>
      <rPr>
        <sz val="9"/>
        <rFont val="돋움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최소화버튼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클릭</t>
    </r>
  </si>
  <si>
    <r>
      <t xml:space="preserve">1. </t>
    </r>
    <r>
      <rPr>
        <sz val="10"/>
        <color rgb="FF000000"/>
        <rFont val="돋움"/>
        <family val="3"/>
        <charset val="129"/>
      </rPr>
      <t>윈도우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닫기</t>
    </r>
    <phoneticPr fontId="7" type="noConversion"/>
  </si>
  <si>
    <t>실행됨</t>
    <phoneticPr fontId="7" type="noConversion"/>
  </si>
  <si>
    <t>타이틀 없음</t>
    <phoneticPr fontId="7" type="noConversion"/>
  </si>
  <si>
    <t>안나옴</t>
    <phoneticPr fontId="7" type="noConversion"/>
  </si>
  <si>
    <t>작은 타이틀 없음</t>
    <phoneticPr fontId="7" type="noConversion"/>
  </si>
  <si>
    <t>나옴</t>
    <phoneticPr fontId="7" type="noConversion"/>
  </si>
  <si>
    <t>성공</t>
    <phoneticPr fontId="7" type="noConversion"/>
  </si>
  <si>
    <t>돌아옴</t>
    <phoneticPr fontId="7" type="noConversion"/>
  </si>
  <si>
    <t>꺼진다</t>
    <phoneticPr fontId="7" type="noConversion"/>
  </si>
  <si>
    <t>된다</t>
    <phoneticPr fontId="7" type="noConversion"/>
  </si>
  <si>
    <t>안함</t>
    <phoneticPr fontId="7" type="noConversion"/>
  </si>
  <si>
    <t>입력한다</t>
    <phoneticPr fontId="7" type="noConversion"/>
  </si>
  <si>
    <t>방을 생성했다</t>
    <phoneticPr fontId="7" type="noConversion"/>
  </si>
  <si>
    <t>방에 들어갔다</t>
    <phoneticPr fontId="7" type="noConversion"/>
  </si>
  <si>
    <t>연결 못 끊음</t>
    <phoneticPr fontId="7" type="noConversion"/>
  </si>
  <si>
    <t>다행</t>
    <phoneticPr fontId="7" type="noConversion"/>
  </si>
  <si>
    <t>안됨</t>
    <phoneticPr fontId="7" type="noConversion"/>
  </si>
  <si>
    <r>
      <t>90</t>
    </r>
    <r>
      <rPr>
        <sz val="9"/>
        <rFont val="맑은 고딕"/>
        <family val="2"/>
        <charset val="129"/>
      </rPr>
      <t>초부터 하락</t>
    </r>
    <phoneticPr fontId="7" type="noConversion"/>
  </si>
  <si>
    <t>타이머 작동</t>
    <phoneticPr fontId="7" type="noConversion"/>
  </si>
  <si>
    <t>종료된다</t>
    <phoneticPr fontId="7" type="noConversion"/>
  </si>
  <si>
    <t>아이템이 나온다</t>
    <phoneticPr fontId="7" type="noConversion"/>
  </si>
  <si>
    <t>자판기가 없다</t>
    <phoneticPr fontId="7" type="noConversion"/>
  </si>
  <si>
    <t>제작중</t>
    <phoneticPr fontId="7" type="noConversion"/>
  </si>
  <si>
    <r>
      <t>ui</t>
    </r>
    <r>
      <rPr>
        <sz val="9"/>
        <rFont val="맑은 고딕"/>
        <family val="2"/>
        <charset val="129"/>
      </rPr>
      <t>가 열린다</t>
    </r>
    <phoneticPr fontId="7" type="noConversion"/>
  </si>
  <si>
    <t>제한된다</t>
    <phoneticPr fontId="7" type="noConversion"/>
  </si>
  <si>
    <t>클릭이 안됨</t>
    <phoneticPr fontId="7" type="noConversion"/>
  </si>
  <si>
    <t>드랍이 안됨</t>
    <phoneticPr fontId="7" type="noConversion"/>
  </si>
  <si>
    <t>없음</t>
    <phoneticPr fontId="7" type="noConversion"/>
  </si>
  <si>
    <t>결과가 나온다</t>
    <phoneticPr fontId="7" type="noConversion"/>
  </si>
  <si>
    <r>
      <t>npc</t>
    </r>
    <r>
      <rPr>
        <sz val="9"/>
        <rFont val="맑은 고딕"/>
        <family val="2"/>
        <charset val="129"/>
      </rPr>
      <t>가 따라옴</t>
    </r>
    <phoneticPr fontId="7" type="noConversion"/>
  </si>
  <si>
    <r>
      <t>npc</t>
    </r>
    <r>
      <rPr>
        <sz val="10"/>
        <color rgb="FF000000"/>
        <rFont val="맑은 고딕"/>
        <family val="2"/>
        <charset val="129"/>
      </rPr>
      <t>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움직임</t>
    </r>
    <phoneticPr fontId="7" type="noConversion"/>
  </si>
  <si>
    <t>통과하여 지나감</t>
    <phoneticPr fontId="7" type="noConversion"/>
  </si>
  <si>
    <t>아이템이 사라짐</t>
    <phoneticPr fontId="7" type="noConversion"/>
  </si>
  <si>
    <t>개수가 안나옴</t>
    <phoneticPr fontId="7" type="noConversion"/>
  </si>
  <si>
    <t>교장실없음</t>
    <phoneticPr fontId="7" type="noConversion"/>
  </si>
  <si>
    <t>교실로 돌아와진다</t>
    <phoneticPr fontId="7" type="noConversion"/>
  </si>
  <si>
    <t>앞이 뿌애진다</t>
    <phoneticPr fontId="7" type="noConversion"/>
  </si>
  <si>
    <r>
      <rPr>
        <sz val="9"/>
        <rFont val="맑은 고딕"/>
        <family val="2"/>
        <charset val="129"/>
      </rPr>
      <t>앞이</t>
    </r>
    <r>
      <rPr>
        <sz val="9"/>
        <rFont val="Verdana"/>
        <family val="2"/>
      </rPr>
      <t xml:space="preserve"> </t>
    </r>
    <r>
      <rPr>
        <sz val="9"/>
        <rFont val="맑은 고딕"/>
        <family val="2"/>
        <charset val="129"/>
      </rPr>
      <t>뿌애진다</t>
    </r>
    <phoneticPr fontId="7" type="noConversion"/>
  </si>
  <si>
    <t>확인불가</t>
    <phoneticPr fontId="7" type="noConversion"/>
  </si>
  <si>
    <t>이벤트가 없음</t>
    <phoneticPr fontId="7" type="noConversion"/>
  </si>
  <si>
    <t>두명 다 같다</t>
    <phoneticPr fontId="7" type="noConversion"/>
  </si>
  <si>
    <t>방장이 먹는다</t>
    <phoneticPr fontId="7" type="noConversion"/>
  </si>
  <si>
    <t>같다</t>
    <phoneticPr fontId="7" type="noConversion"/>
  </si>
  <si>
    <t>타이머가 같다</t>
    <phoneticPr fontId="7" type="noConversion"/>
  </si>
  <si>
    <t>떨어진 아이템이 같다</t>
    <phoneticPr fontId="7" type="noConversion"/>
  </si>
  <si>
    <t>클라이언트가 된다</t>
    <phoneticPr fontId="7" type="noConversion"/>
  </si>
  <si>
    <t>유지된다</t>
    <phoneticPr fontId="7" type="noConversion"/>
  </si>
  <si>
    <t>낮다</t>
    <phoneticPr fontId="7" type="noConversion"/>
  </si>
  <si>
    <t>안정적</t>
    <phoneticPr fontId="7" type="noConversion"/>
  </si>
  <si>
    <t>네트워크</t>
    <phoneticPr fontId="7" type="noConversion"/>
  </si>
  <si>
    <t>3라운드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</si>
</sst>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b/>
      <sz val="9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name val="Verdana"/>
      <family val="3"/>
    </font>
    <font>
      <sz val="10"/>
      <color rgb="FF000000"/>
      <name val="Arial"/>
      <family val="2"/>
    </font>
    <font>
      <sz val="9"/>
      <name val="맑은 고딕"/>
      <family val="2"/>
      <charset val="129"/>
    </font>
    <font>
      <sz val="9"/>
      <name val="돋움"/>
      <family val="3"/>
      <charset val="129"/>
    </font>
    <font>
      <sz val="9"/>
      <name val="Verdana"/>
      <family val="2"/>
      <charset val="129"/>
    </font>
    <font>
      <b/>
      <sz val="9"/>
      <name val="맑은 고딕"/>
      <family val="3"/>
      <charset val="129"/>
    </font>
    <font>
      <sz val="9"/>
      <name val="Verdana"/>
      <family val="3"/>
      <charset val="129"/>
    </font>
    <font>
      <sz val="1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Arial"/>
      <family val="3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1">
    <border>
      <left/>
      <right/>
      <top/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9" fontId="6" fillId="0" borderId="0" xfId="0" applyNumberFormat="1" applyFont="1" applyAlignment="1">
      <alignment wrapText="1"/>
    </xf>
    <xf numFmtId="0" fontId="6" fillId="5" borderId="0" xfId="0" applyFont="1" applyFill="1" applyAlignment="1">
      <alignment wrapText="1"/>
    </xf>
    <xf numFmtId="9" fontId="6" fillId="5" borderId="0" xfId="0" applyNumberFormat="1" applyFont="1" applyFill="1" applyAlignment="1">
      <alignment wrapText="1"/>
    </xf>
    <xf numFmtId="0" fontId="6" fillId="6" borderId="0" xfId="0" applyFont="1" applyFill="1" applyAlignment="1">
      <alignment wrapText="1"/>
    </xf>
    <xf numFmtId="0" fontId="3" fillId="0" borderId="6" xfId="0" applyFont="1" applyBorder="1" applyAlignment="1">
      <alignment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3" fillId="0" borderId="3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16" fillId="0" borderId="7" xfId="0" applyFont="1" applyBorder="1" applyAlignment="1">
      <alignment wrapText="1"/>
    </xf>
    <xf numFmtId="0" fontId="11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1" fillId="0" borderId="3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17" fillId="0" borderId="0" xfId="0" applyFont="1" applyAlignment="1">
      <alignment wrapText="1"/>
    </xf>
    <xf numFmtId="0" fontId="11" fillId="0" borderId="6" xfId="0" applyFont="1" applyBorder="1" applyAlignment="1">
      <alignment vertical="center" wrapText="1"/>
    </xf>
    <xf numFmtId="0" fontId="20" fillId="0" borderId="0" xfId="0" applyFont="1" applyAlignment="1">
      <alignment wrapText="1"/>
    </xf>
    <xf numFmtId="0" fontId="2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1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7" fillId="0" borderId="6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4" fillId="6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10" fontId="4" fillId="6" borderId="0" xfId="0" applyNumberFormat="1" applyFont="1" applyFill="1" applyAlignment="1">
      <alignment wrapText="1"/>
    </xf>
  </cellXfs>
  <cellStyles count="1">
    <cellStyle name="표준" xfId="0" builtinId="0"/>
  </cellStyles>
  <dxfs count="23"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783F04"/>
      </font>
      <fill>
        <patternFill patternType="solid">
          <fgColor rgb="FFFCE5CD"/>
          <bgColor rgb="FFFCE5CD"/>
        </patternFill>
      </fill>
    </dxf>
    <dxf>
      <font>
        <color rgb="FF20124D"/>
      </font>
      <fill>
        <patternFill patternType="solid">
          <fgColor rgb="FFD9D2E9"/>
          <bgColor rgb="FFD9D2E9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color rgb="FF073763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0"/>
  <sheetViews>
    <sheetView tabSelected="1" zoomScale="85" zoomScaleNormal="85" workbookViewId="0">
      <pane ySplit="1" topLeftCell="A2" activePane="bottomLeft" state="frozen"/>
      <selection pane="bottomLeft" activeCell="P51" sqref="P51"/>
    </sheetView>
  </sheetViews>
  <sheetFormatPr defaultColWidth="12.5703125" defaultRowHeight="12.75" customHeight="1" x14ac:dyDescent="0.2"/>
  <cols>
    <col min="1" max="1" width="2.85546875" customWidth="1"/>
    <col min="4" max="4" width="19.42578125" customWidth="1"/>
    <col min="5" max="5" width="70.7109375" customWidth="1"/>
    <col min="6" max="6" width="26" customWidth="1"/>
    <col min="7" max="7" width="39.42578125" customWidth="1"/>
    <col min="8" max="8" width="25.140625" customWidth="1"/>
    <col min="9" max="9" width="5.140625" customWidth="1"/>
    <col min="10" max="10" width="18.85546875" customWidth="1"/>
    <col min="12" max="12" width="15.140625" customWidth="1"/>
  </cols>
  <sheetData>
    <row r="1" spans="1:12" ht="12.75" customHeight="1" x14ac:dyDescent="0.2">
      <c r="A1" s="1" t="s">
        <v>0</v>
      </c>
      <c r="B1" s="25" t="s">
        <v>50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 spans="1:12" ht="12.75" customHeight="1" x14ac:dyDescent="0.2">
      <c r="A2" s="3">
        <f t="shared" ref="A2:A49" si="0">ROW()-2</f>
        <v>0</v>
      </c>
      <c r="B2" s="47" t="s">
        <v>11</v>
      </c>
      <c r="C2" s="18" t="s">
        <v>42</v>
      </c>
      <c r="D2" s="3" t="s">
        <v>11</v>
      </c>
      <c r="E2" s="4" t="s">
        <v>12</v>
      </c>
      <c r="F2" s="5"/>
      <c r="G2" s="5" t="s">
        <v>41</v>
      </c>
      <c r="H2" s="23" t="s">
        <v>47</v>
      </c>
      <c r="I2" s="3" t="s">
        <v>13</v>
      </c>
      <c r="J2" s="22" t="s">
        <v>256</v>
      </c>
      <c r="K2" s="5" t="s">
        <v>14</v>
      </c>
      <c r="L2" s="6" t="str">
        <f>IF(B2="",L1,B2)</f>
        <v>게임실행</v>
      </c>
    </row>
    <row r="3" spans="1:12" ht="12.75" customHeight="1" x14ac:dyDescent="0.25">
      <c r="A3" s="3"/>
      <c r="B3" s="45"/>
      <c r="C3" s="19" t="s">
        <v>42</v>
      </c>
      <c r="D3" s="20" t="s">
        <v>43</v>
      </c>
      <c r="E3" s="21" t="s">
        <v>44</v>
      </c>
      <c r="F3" s="22" t="s">
        <v>45</v>
      </c>
      <c r="G3" s="5" t="s">
        <v>46</v>
      </c>
      <c r="H3" s="22" t="s">
        <v>48</v>
      </c>
      <c r="I3" s="3" t="s">
        <v>19</v>
      </c>
      <c r="J3" s="22" t="s">
        <v>258</v>
      </c>
      <c r="K3" s="39" t="s">
        <v>265</v>
      </c>
      <c r="L3" s="6"/>
    </row>
    <row r="4" spans="1:12" ht="12.75" customHeight="1" x14ac:dyDescent="0.2">
      <c r="A4" s="3"/>
      <c r="B4" s="45"/>
      <c r="C4" s="47" t="s">
        <v>15</v>
      </c>
      <c r="D4" s="47" t="s">
        <v>16</v>
      </c>
      <c r="E4" s="7" t="s">
        <v>17</v>
      </c>
      <c r="F4" s="24" t="s">
        <v>49</v>
      </c>
      <c r="G4" s="8" t="s">
        <v>18</v>
      </c>
      <c r="H4" s="34" t="s">
        <v>126</v>
      </c>
      <c r="I4" s="3" t="s">
        <v>252</v>
      </c>
      <c r="J4" s="22" t="s">
        <v>258</v>
      </c>
      <c r="K4" s="22" t="s">
        <v>257</v>
      </c>
      <c r="L4" s="6" t="str">
        <f>IF(B5="",L2,B5)</f>
        <v>게임실행</v>
      </c>
    </row>
    <row r="5" spans="1:12" ht="12.75" customHeight="1" x14ac:dyDescent="0.2">
      <c r="A5" s="3">
        <f t="shared" si="0"/>
        <v>3</v>
      </c>
      <c r="B5" s="45"/>
      <c r="C5" s="48"/>
      <c r="D5" s="49"/>
      <c r="E5" s="7" t="s">
        <v>20</v>
      </c>
      <c r="F5" s="24" t="s">
        <v>49</v>
      </c>
      <c r="G5" s="8" t="s">
        <v>18</v>
      </c>
      <c r="H5" s="34" t="s">
        <v>125</v>
      </c>
      <c r="I5" s="3" t="s">
        <v>252</v>
      </c>
      <c r="J5" s="34" t="s">
        <v>258</v>
      </c>
      <c r="K5" s="34" t="s">
        <v>259</v>
      </c>
      <c r="L5" s="6" t="str">
        <f>IF(B6="",L4,B6)</f>
        <v>게임실행</v>
      </c>
    </row>
    <row r="6" spans="1:12" ht="12.75" customHeight="1" x14ac:dyDescent="0.2">
      <c r="A6" s="3">
        <f t="shared" si="0"/>
        <v>4</v>
      </c>
      <c r="B6" s="45"/>
      <c r="C6" s="48"/>
      <c r="D6" s="47" t="s">
        <v>22</v>
      </c>
      <c r="E6" s="7" t="s">
        <v>23</v>
      </c>
      <c r="F6" s="8" t="s">
        <v>24</v>
      </c>
      <c r="G6" s="8" t="s">
        <v>253</v>
      </c>
      <c r="H6" s="8" t="s">
        <v>25</v>
      </c>
      <c r="I6" s="3" t="s">
        <v>26</v>
      </c>
      <c r="J6" s="34" t="s">
        <v>260</v>
      </c>
      <c r="K6" s="34" t="s">
        <v>261</v>
      </c>
      <c r="L6" s="6" t="str">
        <f>IF(B7="",L5,B7)</f>
        <v>게임실행</v>
      </c>
    </row>
    <row r="7" spans="1:12" ht="12.75" customHeight="1" x14ac:dyDescent="0.2">
      <c r="A7" s="3">
        <f t="shared" si="0"/>
        <v>5</v>
      </c>
      <c r="B7" s="45"/>
      <c r="C7" s="48"/>
      <c r="D7" s="49"/>
      <c r="E7" s="7" t="s">
        <v>27</v>
      </c>
      <c r="F7" s="8" t="s">
        <v>28</v>
      </c>
      <c r="G7" s="8" t="s">
        <v>29</v>
      </c>
      <c r="H7" s="8" t="s">
        <v>30</v>
      </c>
      <c r="I7" s="3" t="s">
        <v>31</v>
      </c>
      <c r="J7" s="34" t="s">
        <v>262</v>
      </c>
      <c r="K7" s="34" t="s">
        <v>261</v>
      </c>
      <c r="L7" s="6" t="str">
        <f>IF(B9="",L6,B9)</f>
        <v>게임실행</v>
      </c>
    </row>
    <row r="8" spans="1:12" ht="12.75" customHeight="1" x14ac:dyDescent="0.25">
      <c r="A8" s="3"/>
      <c r="B8" s="45"/>
      <c r="C8" s="48"/>
      <c r="D8" s="27" t="s">
        <v>52</v>
      </c>
      <c r="E8" s="7" t="s">
        <v>53</v>
      </c>
      <c r="F8" s="8"/>
      <c r="G8" s="8" t="s">
        <v>254</v>
      </c>
      <c r="H8" s="8" t="s">
        <v>30</v>
      </c>
      <c r="I8" s="3" t="s">
        <v>13</v>
      </c>
      <c r="J8" s="34" t="s">
        <v>263</v>
      </c>
      <c r="K8" s="34" t="s">
        <v>261</v>
      </c>
      <c r="L8" s="6"/>
    </row>
    <row r="9" spans="1:12" ht="12.75" customHeight="1" x14ac:dyDescent="0.25">
      <c r="A9" s="3">
        <f t="shared" si="0"/>
        <v>7</v>
      </c>
      <c r="B9" s="45"/>
      <c r="C9" s="49"/>
      <c r="D9" s="3" t="s">
        <v>32</v>
      </c>
      <c r="E9" s="26" t="s">
        <v>51</v>
      </c>
      <c r="F9" s="8"/>
      <c r="G9" s="33" t="s">
        <v>255</v>
      </c>
      <c r="H9" s="8" t="s">
        <v>30</v>
      </c>
      <c r="I9" s="3" t="s">
        <v>13</v>
      </c>
      <c r="J9" s="34" t="s">
        <v>264</v>
      </c>
      <c r="K9" s="34" t="s">
        <v>261</v>
      </c>
      <c r="L9" s="6" t="str">
        <f>IF(B10="",L7,B10)</f>
        <v>게임실행</v>
      </c>
    </row>
    <row r="10" spans="1:12" ht="12.75" customHeight="1" x14ac:dyDescent="0.2">
      <c r="A10" s="3">
        <f t="shared" si="0"/>
        <v>8</v>
      </c>
      <c r="B10" s="46"/>
      <c r="C10" s="17"/>
      <c r="D10" s="18" t="s">
        <v>55</v>
      </c>
      <c r="E10" s="29" t="s">
        <v>59</v>
      </c>
      <c r="F10" s="8"/>
      <c r="G10" s="8" t="s">
        <v>100</v>
      </c>
      <c r="H10" s="35" t="s">
        <v>127</v>
      </c>
      <c r="I10" s="3" t="s">
        <v>13</v>
      </c>
      <c r="J10" s="34" t="s">
        <v>266</v>
      </c>
      <c r="K10" s="35" t="s">
        <v>261</v>
      </c>
      <c r="L10" s="6" t="str">
        <f>IF(B11="",L9,B11)</f>
        <v>메뉴기능</v>
      </c>
    </row>
    <row r="11" spans="1:12" ht="12.75" customHeight="1" x14ac:dyDescent="0.2">
      <c r="A11" s="3">
        <f t="shared" si="0"/>
        <v>9</v>
      </c>
      <c r="B11" s="51" t="s">
        <v>60</v>
      </c>
      <c r="C11" s="50" t="s">
        <v>54</v>
      </c>
      <c r="D11" s="18" t="s">
        <v>56</v>
      </c>
      <c r="E11" s="29" t="s">
        <v>91</v>
      </c>
      <c r="F11" s="34" t="s">
        <v>95</v>
      </c>
      <c r="G11" s="8" t="s">
        <v>101</v>
      </c>
      <c r="H11" s="24" t="s">
        <v>129</v>
      </c>
      <c r="I11" s="3" t="s">
        <v>13</v>
      </c>
      <c r="J11" s="34" t="s">
        <v>267</v>
      </c>
      <c r="K11" s="34" t="s">
        <v>261</v>
      </c>
      <c r="L11" s="6" t="str">
        <f>IF(B12="",L10,B12)</f>
        <v>메뉴기능</v>
      </c>
    </row>
    <row r="12" spans="1:12" ht="12.75" customHeight="1" x14ac:dyDescent="0.2">
      <c r="A12" s="3">
        <f t="shared" si="0"/>
        <v>10</v>
      </c>
      <c r="B12" s="52"/>
      <c r="C12" s="48"/>
      <c r="D12" s="18" t="s">
        <v>57</v>
      </c>
      <c r="E12" s="26" t="s">
        <v>92</v>
      </c>
      <c r="F12" s="34" t="s">
        <v>96</v>
      </c>
      <c r="G12" s="8" t="s">
        <v>102</v>
      </c>
      <c r="H12" s="34" t="s">
        <v>128</v>
      </c>
      <c r="I12" s="3" t="s">
        <v>13</v>
      </c>
      <c r="J12" s="34" t="s">
        <v>268</v>
      </c>
      <c r="K12" s="34" t="s">
        <v>261</v>
      </c>
      <c r="L12" s="6" t="str">
        <f>IF(B13="",L11,B13)</f>
        <v>메뉴기능</v>
      </c>
    </row>
    <row r="13" spans="1:12" ht="12.75" customHeight="1" x14ac:dyDescent="0.2">
      <c r="A13" s="3">
        <f t="shared" si="0"/>
        <v>11</v>
      </c>
      <c r="B13" s="52"/>
      <c r="C13" s="48"/>
      <c r="D13" s="18" t="s">
        <v>58</v>
      </c>
      <c r="E13" s="29" t="s">
        <v>93</v>
      </c>
      <c r="F13" s="8"/>
      <c r="G13" s="8" t="s">
        <v>103</v>
      </c>
      <c r="H13" s="34" t="s">
        <v>130</v>
      </c>
      <c r="I13" s="3" t="s">
        <v>31</v>
      </c>
      <c r="J13" s="34" t="s">
        <v>269</v>
      </c>
      <c r="K13" s="34" t="s">
        <v>270</v>
      </c>
      <c r="L13" s="6" t="str">
        <f>IF(B14="",L12,B14)</f>
        <v>메뉴기능</v>
      </c>
    </row>
    <row r="14" spans="1:12" ht="12.75" customHeight="1" x14ac:dyDescent="0.2">
      <c r="A14" s="3">
        <f t="shared" si="0"/>
        <v>12</v>
      </c>
      <c r="B14" s="52"/>
      <c r="C14" s="48"/>
      <c r="D14" s="30" t="s">
        <v>61</v>
      </c>
      <c r="E14" s="28" t="s">
        <v>94</v>
      </c>
      <c r="F14" s="34" t="s">
        <v>97</v>
      </c>
      <c r="G14" s="8" t="s">
        <v>104</v>
      </c>
      <c r="H14" s="34" t="s">
        <v>131</v>
      </c>
      <c r="I14" s="3" t="s">
        <v>13</v>
      </c>
      <c r="J14" s="34" t="s">
        <v>271</v>
      </c>
      <c r="K14" s="34" t="s">
        <v>265</v>
      </c>
      <c r="L14" s="6" t="str">
        <f>IF(B15="",L13,B15)</f>
        <v>인게임기능</v>
      </c>
    </row>
    <row r="15" spans="1:12" ht="12.75" customHeight="1" x14ac:dyDescent="0.2">
      <c r="A15" s="3">
        <f t="shared" si="0"/>
        <v>13</v>
      </c>
      <c r="B15" s="47" t="s">
        <v>34</v>
      </c>
      <c r="C15" s="53" t="s">
        <v>75</v>
      </c>
      <c r="D15" s="19" t="s">
        <v>76</v>
      </c>
      <c r="E15" s="29" t="s">
        <v>62</v>
      </c>
      <c r="F15" s="34" t="s">
        <v>98</v>
      </c>
      <c r="G15" s="8"/>
      <c r="H15" s="35" t="s">
        <v>132</v>
      </c>
      <c r="I15" s="3" t="s">
        <v>13</v>
      </c>
      <c r="J15" s="34" t="s">
        <v>273</v>
      </c>
      <c r="K15" s="34" t="s">
        <v>261</v>
      </c>
      <c r="L15" s="6" t="str">
        <f>IF(B16="",L14,B16)</f>
        <v>인게임기능</v>
      </c>
    </row>
    <row r="16" spans="1:12" ht="12.75" customHeight="1" x14ac:dyDescent="0.2">
      <c r="A16" s="3">
        <f t="shared" si="0"/>
        <v>14</v>
      </c>
      <c r="B16" s="45"/>
      <c r="C16" s="54"/>
      <c r="D16" s="44" t="s">
        <v>77</v>
      </c>
      <c r="E16" s="28" t="s">
        <v>63</v>
      </c>
      <c r="F16" s="8" t="s">
        <v>24</v>
      </c>
      <c r="G16" s="34" t="s">
        <v>105</v>
      </c>
      <c r="H16" s="34" t="s">
        <v>133</v>
      </c>
      <c r="I16" s="3" t="s">
        <v>13</v>
      </c>
      <c r="J16" s="8" t="s">
        <v>272</v>
      </c>
      <c r="K16" s="34" t="s">
        <v>261</v>
      </c>
      <c r="L16" s="6" t="str">
        <f>IF(B17="",L15,B17)</f>
        <v>인게임기능</v>
      </c>
    </row>
    <row r="17" spans="1:12" ht="12.75" customHeight="1" x14ac:dyDescent="0.2">
      <c r="A17" s="3">
        <f t="shared" si="0"/>
        <v>15</v>
      </c>
      <c r="B17" s="45"/>
      <c r="C17" s="54"/>
      <c r="D17" s="44"/>
      <c r="E17" s="29" t="s">
        <v>64</v>
      </c>
      <c r="F17" s="8" t="s">
        <v>28</v>
      </c>
      <c r="G17" s="8" t="s">
        <v>106</v>
      </c>
      <c r="H17" s="35" t="s">
        <v>134</v>
      </c>
      <c r="I17" s="3" t="s">
        <v>13</v>
      </c>
      <c r="J17" s="34" t="s">
        <v>274</v>
      </c>
      <c r="K17" s="34" t="s">
        <v>261</v>
      </c>
      <c r="L17" s="6" t="str">
        <f>IF(B18="",L16,B18)</f>
        <v>인게임기능</v>
      </c>
    </row>
    <row r="18" spans="1:12" ht="12.75" customHeight="1" x14ac:dyDescent="0.2">
      <c r="A18" s="3">
        <f t="shared" si="0"/>
        <v>16</v>
      </c>
      <c r="B18" s="45"/>
      <c r="C18" s="54"/>
      <c r="D18" s="44" t="s">
        <v>78</v>
      </c>
      <c r="E18" s="29" t="s">
        <v>65</v>
      </c>
      <c r="F18" s="8"/>
      <c r="G18" s="8" t="s">
        <v>107</v>
      </c>
      <c r="H18" s="34" t="s">
        <v>135</v>
      </c>
      <c r="I18" s="3" t="s">
        <v>13</v>
      </c>
      <c r="J18" s="34" t="s">
        <v>275</v>
      </c>
      <c r="K18" s="34" t="s">
        <v>261</v>
      </c>
      <c r="L18" s="6" t="str">
        <f>IF(B19="",L17,B19)</f>
        <v>인게임기능</v>
      </c>
    </row>
    <row r="19" spans="1:12" ht="12.75" customHeight="1" x14ac:dyDescent="0.2">
      <c r="A19" s="3">
        <f t="shared" si="0"/>
        <v>17</v>
      </c>
      <c r="B19" s="45"/>
      <c r="C19" s="54"/>
      <c r="D19" s="44"/>
      <c r="E19" s="29" t="s">
        <v>66</v>
      </c>
      <c r="F19" s="8"/>
      <c r="G19" s="8" t="s">
        <v>108</v>
      </c>
      <c r="H19" s="34" t="s">
        <v>135</v>
      </c>
      <c r="I19" s="3" t="s">
        <v>26</v>
      </c>
      <c r="J19" s="34" t="s">
        <v>276</v>
      </c>
      <c r="K19" s="34" t="s">
        <v>277</v>
      </c>
      <c r="L19" s="6" t="str">
        <f>IF(B21="",L18,B21)</f>
        <v>인게임기능</v>
      </c>
    </row>
    <row r="20" spans="1:12" ht="12.75" customHeight="1" x14ac:dyDescent="0.2">
      <c r="A20" s="3"/>
      <c r="B20" s="45"/>
      <c r="C20" s="54"/>
      <c r="D20" s="44" t="s">
        <v>87</v>
      </c>
      <c r="E20" s="29" t="s">
        <v>86</v>
      </c>
      <c r="F20" s="8"/>
      <c r="G20" s="8" t="s">
        <v>109</v>
      </c>
      <c r="H20" s="8" t="s">
        <v>136</v>
      </c>
      <c r="I20" s="3" t="s">
        <v>13</v>
      </c>
      <c r="J20" s="8" t="s">
        <v>278</v>
      </c>
      <c r="K20" s="34" t="s">
        <v>261</v>
      </c>
      <c r="L20" s="6"/>
    </row>
    <row r="21" spans="1:12" ht="12.75" customHeight="1" x14ac:dyDescent="0.25">
      <c r="A21" s="3">
        <f t="shared" si="0"/>
        <v>19</v>
      </c>
      <c r="B21" s="45"/>
      <c r="C21" s="54"/>
      <c r="D21" s="44"/>
      <c r="E21" s="29" t="s">
        <v>67</v>
      </c>
      <c r="F21" s="35"/>
      <c r="G21" s="33" t="s">
        <v>111</v>
      </c>
      <c r="H21" s="37" t="s">
        <v>137</v>
      </c>
      <c r="I21" s="3" t="s">
        <v>13</v>
      </c>
      <c r="J21" s="34" t="s">
        <v>279</v>
      </c>
      <c r="K21" s="34" t="s">
        <v>261</v>
      </c>
      <c r="L21" s="6" t="str">
        <f>IF(B22="",L19,B22)</f>
        <v>인게임기능</v>
      </c>
    </row>
    <row r="22" spans="1:12" ht="12.75" customHeight="1" x14ac:dyDescent="0.2">
      <c r="A22" s="3">
        <f t="shared" si="0"/>
        <v>20</v>
      </c>
      <c r="B22" s="45"/>
      <c r="C22" s="54"/>
      <c r="D22" s="44" t="s">
        <v>79</v>
      </c>
      <c r="E22" s="28" t="s">
        <v>68</v>
      </c>
      <c r="F22" s="36" t="s">
        <v>99</v>
      </c>
      <c r="G22" s="8" t="s">
        <v>110</v>
      </c>
      <c r="H22" s="34" t="s">
        <v>138</v>
      </c>
      <c r="I22" s="3" t="s">
        <v>26</v>
      </c>
      <c r="J22" s="34" t="s">
        <v>280</v>
      </c>
      <c r="K22" s="34" t="s">
        <v>277</v>
      </c>
      <c r="L22" s="6" t="str">
        <f>IF(B23="",L21,B23)</f>
        <v>인게임기능</v>
      </c>
    </row>
    <row r="23" spans="1:12" ht="12.75" customHeight="1" x14ac:dyDescent="0.2">
      <c r="A23" s="3">
        <f t="shared" si="0"/>
        <v>21</v>
      </c>
      <c r="B23" s="45"/>
      <c r="C23" s="54"/>
      <c r="D23" s="44"/>
      <c r="E23" s="29" t="s">
        <v>69</v>
      </c>
      <c r="F23" s="8"/>
      <c r="G23" s="8" t="s">
        <v>114</v>
      </c>
      <c r="H23" s="35" t="s">
        <v>139</v>
      </c>
      <c r="I23" s="3" t="s">
        <v>252</v>
      </c>
      <c r="J23" s="34" t="s">
        <v>281</v>
      </c>
      <c r="K23" s="34" t="s">
        <v>277</v>
      </c>
      <c r="L23" s="6" t="str">
        <f>IF(B24="",L22,B24)</f>
        <v>인게임기능</v>
      </c>
    </row>
    <row r="24" spans="1:12" ht="12.75" customHeight="1" x14ac:dyDescent="0.2">
      <c r="A24" s="3">
        <f t="shared" si="0"/>
        <v>22</v>
      </c>
      <c r="B24" s="45"/>
      <c r="C24" s="54"/>
      <c r="D24" s="44" t="s">
        <v>80</v>
      </c>
      <c r="E24" s="29" t="s">
        <v>70</v>
      </c>
      <c r="F24" s="8"/>
      <c r="G24" s="8" t="s">
        <v>115</v>
      </c>
      <c r="H24" s="37" t="s">
        <v>140</v>
      </c>
      <c r="I24" s="3" t="s">
        <v>26</v>
      </c>
      <c r="J24" s="34" t="s">
        <v>282</v>
      </c>
      <c r="K24" s="34" t="s">
        <v>277</v>
      </c>
      <c r="L24" s="6" t="str">
        <f>IF(B25="",L23,B25)</f>
        <v>인게임기능</v>
      </c>
    </row>
    <row r="25" spans="1:12" ht="12.75" customHeight="1" x14ac:dyDescent="0.2">
      <c r="A25" s="3">
        <f t="shared" si="0"/>
        <v>23</v>
      </c>
      <c r="B25" s="45"/>
      <c r="C25" s="54"/>
      <c r="D25" s="44"/>
      <c r="E25" s="29" t="s">
        <v>71</v>
      </c>
      <c r="F25" s="8"/>
      <c r="G25" s="8" t="s">
        <v>116</v>
      </c>
      <c r="H25" s="37" t="s">
        <v>141</v>
      </c>
      <c r="I25" s="3" t="s">
        <v>26</v>
      </c>
      <c r="J25" s="34" t="s">
        <v>282</v>
      </c>
      <c r="K25" s="34" t="s">
        <v>277</v>
      </c>
      <c r="L25" s="6" t="str">
        <f>IF(B26="",L24,B26)</f>
        <v>인게임기능</v>
      </c>
    </row>
    <row r="26" spans="1:12" ht="12.75" customHeight="1" x14ac:dyDescent="0.25">
      <c r="A26" s="3">
        <f t="shared" si="0"/>
        <v>24</v>
      </c>
      <c r="B26" s="45"/>
      <c r="C26" s="54"/>
      <c r="D26" s="32" t="s">
        <v>81</v>
      </c>
      <c r="E26" s="29" t="s">
        <v>72</v>
      </c>
      <c r="F26" s="8"/>
      <c r="G26" s="39" t="s">
        <v>148</v>
      </c>
      <c r="H26" s="34" t="s">
        <v>149</v>
      </c>
      <c r="I26" s="3" t="s">
        <v>13</v>
      </c>
      <c r="J26" s="34" t="s">
        <v>283</v>
      </c>
      <c r="K26" s="34" t="s">
        <v>261</v>
      </c>
      <c r="L26" s="6" t="e">
        <f>IF(B27="",#REF!,B27)</f>
        <v>#REF!</v>
      </c>
    </row>
    <row r="27" spans="1:12" ht="12.75" customHeight="1" x14ac:dyDescent="0.2">
      <c r="A27" s="3">
        <f t="shared" si="0"/>
        <v>25</v>
      </c>
      <c r="B27" s="45"/>
      <c r="C27" s="54"/>
      <c r="D27" s="32" t="s">
        <v>82</v>
      </c>
      <c r="E27" s="28" t="s">
        <v>73</v>
      </c>
      <c r="F27" s="8"/>
      <c r="G27" s="34" t="s">
        <v>118</v>
      </c>
      <c r="H27" s="34" t="s">
        <v>125</v>
      </c>
      <c r="I27" s="3" t="s">
        <v>13</v>
      </c>
      <c r="J27" s="34" t="s">
        <v>264</v>
      </c>
      <c r="K27" s="34" t="s">
        <v>277</v>
      </c>
      <c r="L27" s="6" t="e">
        <f>IF(B28="",L26,B28)</f>
        <v>#REF!</v>
      </c>
    </row>
    <row r="28" spans="1:12" ht="12.75" customHeight="1" x14ac:dyDescent="0.2">
      <c r="A28" s="3">
        <f t="shared" si="0"/>
        <v>26</v>
      </c>
      <c r="B28" s="45"/>
      <c r="C28" s="54"/>
      <c r="D28" s="45" t="s">
        <v>83</v>
      </c>
      <c r="E28" s="31" t="s">
        <v>74</v>
      </c>
      <c r="F28" s="8"/>
      <c r="G28" s="8" t="s">
        <v>119</v>
      </c>
      <c r="H28" s="34" t="s">
        <v>142</v>
      </c>
      <c r="I28" s="3" t="s">
        <v>13</v>
      </c>
      <c r="J28" s="8" t="s">
        <v>284</v>
      </c>
      <c r="K28" s="34" t="s">
        <v>261</v>
      </c>
      <c r="L28" s="6" t="e">
        <f>IF(B29="",L27,B29)</f>
        <v>#REF!</v>
      </c>
    </row>
    <row r="29" spans="1:12" ht="12.75" customHeight="1" x14ac:dyDescent="0.25">
      <c r="A29" s="3">
        <f t="shared" si="0"/>
        <v>27</v>
      </c>
      <c r="B29" s="45"/>
      <c r="C29" s="54"/>
      <c r="D29" s="45"/>
      <c r="E29" s="33" t="s">
        <v>84</v>
      </c>
      <c r="G29" s="8" t="s">
        <v>120</v>
      </c>
      <c r="H29" s="38" t="s">
        <v>143</v>
      </c>
      <c r="I29" s="3" t="s">
        <v>13</v>
      </c>
      <c r="J29" s="33" t="s">
        <v>285</v>
      </c>
      <c r="K29" s="39" t="s">
        <v>261</v>
      </c>
    </row>
    <row r="30" spans="1:12" ht="12.75" customHeight="1" x14ac:dyDescent="0.25">
      <c r="A30" s="3">
        <f t="shared" si="0"/>
        <v>28</v>
      </c>
      <c r="B30" s="45"/>
      <c r="C30" s="55"/>
      <c r="D30" s="46"/>
      <c r="E30" s="7" t="s">
        <v>85</v>
      </c>
      <c r="G30" s="33" t="s">
        <v>121</v>
      </c>
      <c r="H30" s="39" t="s">
        <v>144</v>
      </c>
      <c r="I30" s="3" t="s">
        <v>26</v>
      </c>
      <c r="J30" s="34" t="s">
        <v>286</v>
      </c>
      <c r="K30" s="34" t="s">
        <v>277</v>
      </c>
      <c r="L30" s="6">
        <f>IF(B30="",L29,B30)</f>
        <v>0</v>
      </c>
    </row>
    <row r="31" spans="1:12" ht="12.75" customHeight="1" x14ac:dyDescent="0.2">
      <c r="A31" s="3"/>
      <c r="B31" s="45"/>
      <c r="C31" s="63" t="s">
        <v>88</v>
      </c>
      <c r="D31" s="50" t="s">
        <v>112</v>
      </c>
      <c r="E31" s="28" t="s">
        <v>113</v>
      </c>
      <c r="F31" s="8" t="s">
        <v>117</v>
      </c>
      <c r="G31" s="8" t="s">
        <v>122</v>
      </c>
      <c r="H31" s="35" t="s">
        <v>145</v>
      </c>
      <c r="I31" s="3" t="s">
        <v>13</v>
      </c>
      <c r="J31" s="34" t="s">
        <v>287</v>
      </c>
      <c r="K31" s="34" t="s">
        <v>261</v>
      </c>
      <c r="L31" s="6">
        <f>IF(B32="",L30,B32)</f>
        <v>0</v>
      </c>
    </row>
    <row r="32" spans="1:12" ht="12.75" customHeight="1" x14ac:dyDescent="0.2">
      <c r="A32" s="3"/>
      <c r="B32" s="45"/>
      <c r="C32" s="56"/>
      <c r="D32" s="62"/>
      <c r="E32" s="28" t="s">
        <v>124</v>
      </c>
      <c r="F32" s="8" t="s">
        <v>147</v>
      </c>
      <c r="G32" s="8" t="s">
        <v>123</v>
      </c>
      <c r="H32" s="34" t="s">
        <v>146</v>
      </c>
      <c r="I32" s="3" t="s">
        <v>26</v>
      </c>
      <c r="J32" s="34" t="s">
        <v>288</v>
      </c>
      <c r="K32" s="34" t="s">
        <v>277</v>
      </c>
      <c r="L32" s="6">
        <f>IF(B33="",L31,B33)</f>
        <v>0</v>
      </c>
    </row>
    <row r="33" spans="1:12" ht="12.75" customHeight="1" x14ac:dyDescent="0.2">
      <c r="A33" s="3">
        <f t="shared" si="0"/>
        <v>31</v>
      </c>
      <c r="B33" s="45"/>
      <c r="C33" s="56"/>
      <c r="D33" s="19" t="s">
        <v>76</v>
      </c>
      <c r="E33" s="29" t="s">
        <v>89</v>
      </c>
      <c r="F33" s="34" t="s">
        <v>98</v>
      </c>
      <c r="G33" s="8"/>
      <c r="H33" s="35" t="s">
        <v>132</v>
      </c>
      <c r="I33" s="3" t="s">
        <v>13</v>
      </c>
      <c r="J33" s="34" t="s">
        <v>273</v>
      </c>
      <c r="K33" s="34" t="s">
        <v>261</v>
      </c>
      <c r="L33" s="6" t="e">
        <f>IF(B34="",#REF!,B34)</f>
        <v>#REF!</v>
      </c>
    </row>
    <row r="34" spans="1:12" ht="12.75" customHeight="1" x14ac:dyDescent="0.2">
      <c r="A34" s="3">
        <f t="shared" si="0"/>
        <v>32</v>
      </c>
      <c r="B34" s="45"/>
      <c r="C34" s="56"/>
      <c r="D34" s="44" t="s">
        <v>77</v>
      </c>
      <c r="E34" s="28" t="s">
        <v>63</v>
      </c>
      <c r="F34" s="8" t="s">
        <v>24</v>
      </c>
      <c r="G34" s="34" t="s">
        <v>105</v>
      </c>
      <c r="H34" s="34" t="s">
        <v>133</v>
      </c>
      <c r="I34" s="3" t="s">
        <v>13</v>
      </c>
      <c r="J34" s="8" t="s">
        <v>272</v>
      </c>
      <c r="K34" s="34" t="s">
        <v>261</v>
      </c>
      <c r="L34" s="6" t="e">
        <f>IF(B35="",L33,B35)</f>
        <v>#REF!</v>
      </c>
    </row>
    <row r="35" spans="1:12" ht="12.75" customHeight="1" x14ac:dyDescent="0.2">
      <c r="A35" s="3">
        <f t="shared" si="0"/>
        <v>33</v>
      </c>
      <c r="B35" s="45"/>
      <c r="C35" s="56"/>
      <c r="D35" s="44"/>
      <c r="E35" s="29" t="s">
        <v>64</v>
      </c>
      <c r="F35" s="8" t="s">
        <v>28</v>
      </c>
      <c r="G35" s="8" t="s">
        <v>106</v>
      </c>
      <c r="H35" s="35" t="s">
        <v>134</v>
      </c>
      <c r="I35" s="3" t="s">
        <v>13</v>
      </c>
      <c r="J35" s="34" t="s">
        <v>274</v>
      </c>
      <c r="K35" s="34" t="s">
        <v>261</v>
      </c>
      <c r="L35" s="6" t="e">
        <f>IF(B36="",L34,B36)</f>
        <v>#REF!</v>
      </c>
    </row>
    <row r="36" spans="1:12" ht="12.75" customHeight="1" x14ac:dyDescent="0.2">
      <c r="A36" s="3">
        <f t="shared" si="0"/>
        <v>34</v>
      </c>
      <c r="B36" s="45"/>
      <c r="C36" s="56"/>
      <c r="D36" s="44" t="s">
        <v>78</v>
      </c>
      <c r="E36" s="29" t="s">
        <v>65</v>
      </c>
      <c r="F36" s="8"/>
      <c r="G36" s="8" t="s">
        <v>107</v>
      </c>
      <c r="H36" s="34" t="s">
        <v>135</v>
      </c>
      <c r="I36" s="3" t="s">
        <v>13</v>
      </c>
      <c r="J36" s="34" t="s">
        <v>275</v>
      </c>
      <c r="K36" s="34" t="s">
        <v>261</v>
      </c>
      <c r="L36" s="6" t="e">
        <f>IF(B37="",L35,B37)</f>
        <v>#REF!</v>
      </c>
    </row>
    <row r="37" spans="1:12" ht="12.75" customHeight="1" x14ac:dyDescent="0.2">
      <c r="A37" s="3">
        <f t="shared" si="0"/>
        <v>35</v>
      </c>
      <c r="B37" s="45"/>
      <c r="C37" s="56"/>
      <c r="D37" s="44"/>
      <c r="E37" s="29" t="s">
        <v>66</v>
      </c>
      <c r="F37" s="8"/>
      <c r="G37" s="8" t="s">
        <v>108</v>
      </c>
      <c r="H37" s="34" t="s">
        <v>135</v>
      </c>
      <c r="I37" s="3" t="s">
        <v>26</v>
      </c>
      <c r="J37" s="34" t="s">
        <v>276</v>
      </c>
      <c r="K37" s="34" t="s">
        <v>277</v>
      </c>
      <c r="L37" s="6" t="e">
        <f>IF(B39="",L36,B39)</f>
        <v>#REF!</v>
      </c>
    </row>
    <row r="38" spans="1:12" ht="12.75" customHeight="1" x14ac:dyDescent="0.2">
      <c r="A38" s="3">
        <f t="shared" si="0"/>
        <v>36</v>
      </c>
      <c r="B38" s="45"/>
      <c r="C38" s="56"/>
      <c r="D38" s="44" t="s">
        <v>87</v>
      </c>
      <c r="E38" s="29" t="s">
        <v>86</v>
      </c>
      <c r="F38" s="8"/>
      <c r="G38" s="8" t="s">
        <v>109</v>
      </c>
      <c r="H38" s="8" t="s">
        <v>136</v>
      </c>
      <c r="I38" s="3" t="s">
        <v>13</v>
      </c>
      <c r="J38" s="8" t="s">
        <v>278</v>
      </c>
      <c r="K38" s="34" t="s">
        <v>261</v>
      </c>
      <c r="L38" s="6" t="e">
        <f>IF(B39="",L37,B39)</f>
        <v>#REF!</v>
      </c>
    </row>
    <row r="39" spans="1:12" ht="12.75" customHeight="1" x14ac:dyDescent="0.25">
      <c r="A39" s="3">
        <f t="shared" si="0"/>
        <v>37</v>
      </c>
      <c r="B39" s="45"/>
      <c r="C39" s="56"/>
      <c r="D39" s="44"/>
      <c r="E39" s="29" t="s">
        <v>67</v>
      </c>
      <c r="F39" s="35"/>
      <c r="G39" s="33" t="s">
        <v>111</v>
      </c>
      <c r="H39" s="37" t="s">
        <v>137</v>
      </c>
      <c r="I39" s="3" t="s">
        <v>13</v>
      </c>
      <c r="J39" s="34" t="s">
        <v>279</v>
      </c>
      <c r="K39" s="34" t="s">
        <v>261</v>
      </c>
      <c r="L39" s="6" t="e">
        <f>IF(B40="",L37,B40)</f>
        <v>#REF!</v>
      </c>
    </row>
    <row r="40" spans="1:12" ht="12.75" customHeight="1" x14ac:dyDescent="0.2">
      <c r="A40" s="3">
        <f t="shared" si="0"/>
        <v>38</v>
      </c>
      <c r="B40" s="45"/>
      <c r="C40" s="56"/>
      <c r="D40" s="44" t="s">
        <v>79</v>
      </c>
      <c r="E40" s="28" t="s">
        <v>68</v>
      </c>
      <c r="F40" s="36" t="s">
        <v>99</v>
      </c>
      <c r="G40" s="8" t="s">
        <v>110</v>
      </c>
      <c r="H40" s="34" t="s">
        <v>138</v>
      </c>
      <c r="I40" s="3" t="s">
        <v>26</v>
      </c>
      <c r="J40" s="34" t="s">
        <v>280</v>
      </c>
      <c r="K40" s="34" t="s">
        <v>277</v>
      </c>
      <c r="L40" s="6" t="e">
        <f>IF(B41="",L39,B41)</f>
        <v>#REF!</v>
      </c>
    </row>
    <row r="41" spans="1:12" ht="12.75" customHeight="1" x14ac:dyDescent="0.2">
      <c r="A41" s="3">
        <f t="shared" si="0"/>
        <v>39</v>
      </c>
      <c r="B41" s="45"/>
      <c r="C41" s="56"/>
      <c r="D41" s="44"/>
      <c r="E41" s="29" t="s">
        <v>69</v>
      </c>
      <c r="F41" s="8"/>
      <c r="G41" s="8" t="s">
        <v>114</v>
      </c>
      <c r="H41" s="35" t="s">
        <v>139</v>
      </c>
      <c r="I41" s="3" t="s">
        <v>252</v>
      </c>
      <c r="J41" s="34" t="s">
        <v>281</v>
      </c>
      <c r="K41" s="34" t="s">
        <v>277</v>
      </c>
      <c r="L41" s="6" t="e">
        <f>IF(B42="",L40,B42)</f>
        <v>#REF!</v>
      </c>
    </row>
    <row r="42" spans="1:12" ht="12.75" customHeight="1" x14ac:dyDescent="0.2">
      <c r="A42" s="3">
        <f t="shared" si="0"/>
        <v>40</v>
      </c>
      <c r="B42" s="45"/>
      <c r="C42" s="56"/>
      <c r="D42" s="44" t="s">
        <v>80</v>
      </c>
      <c r="E42" s="29" t="s">
        <v>70</v>
      </c>
      <c r="F42" s="8"/>
      <c r="G42" s="8" t="s">
        <v>115</v>
      </c>
      <c r="H42" s="37" t="s">
        <v>140</v>
      </c>
      <c r="I42" s="3" t="s">
        <v>26</v>
      </c>
      <c r="J42" s="34" t="s">
        <v>282</v>
      </c>
      <c r="K42" s="34" t="s">
        <v>277</v>
      </c>
      <c r="L42" s="6" t="e">
        <f>IF(B43="",L41,B43)</f>
        <v>#REF!</v>
      </c>
    </row>
    <row r="43" spans="1:12" ht="12.75" customHeight="1" x14ac:dyDescent="0.2">
      <c r="A43" s="3">
        <f t="shared" si="0"/>
        <v>41</v>
      </c>
      <c r="B43" s="45"/>
      <c r="C43" s="56"/>
      <c r="D43" s="44"/>
      <c r="E43" s="29" t="s">
        <v>71</v>
      </c>
      <c r="F43" s="8"/>
      <c r="G43" s="8" t="s">
        <v>116</v>
      </c>
      <c r="H43" s="37" t="s">
        <v>141</v>
      </c>
      <c r="I43" s="3" t="s">
        <v>26</v>
      </c>
      <c r="J43" s="34" t="s">
        <v>282</v>
      </c>
      <c r="K43" s="34" t="s">
        <v>277</v>
      </c>
      <c r="L43" s="6" t="e">
        <f>IF(#REF!="",L42,#REF!)</f>
        <v>#REF!</v>
      </c>
    </row>
    <row r="44" spans="1:12" ht="12.75" customHeight="1" x14ac:dyDescent="0.25">
      <c r="A44" s="3">
        <f t="shared" si="0"/>
        <v>42</v>
      </c>
      <c r="B44" s="45"/>
      <c r="C44" s="56"/>
      <c r="D44" s="32" t="s">
        <v>81</v>
      </c>
      <c r="E44" s="29" t="s">
        <v>72</v>
      </c>
      <c r="F44" s="34" t="s">
        <v>154</v>
      </c>
      <c r="G44" s="39" t="s">
        <v>148</v>
      </c>
      <c r="H44" s="34" t="s">
        <v>149</v>
      </c>
      <c r="I44" s="3" t="s">
        <v>13</v>
      </c>
      <c r="J44" s="34" t="s">
        <v>283</v>
      </c>
      <c r="K44" s="34" t="s">
        <v>261</v>
      </c>
      <c r="L44" s="6" t="e">
        <f>IF(B45="",#REF!,B45)</f>
        <v>#REF!</v>
      </c>
    </row>
    <row r="45" spans="1:12" ht="12.75" customHeight="1" x14ac:dyDescent="0.2">
      <c r="A45" s="3">
        <f t="shared" si="0"/>
        <v>43</v>
      </c>
      <c r="B45" s="45"/>
      <c r="C45" s="56"/>
      <c r="D45" s="32" t="s">
        <v>82</v>
      </c>
      <c r="E45" s="28" t="s">
        <v>73</v>
      </c>
      <c r="F45" s="8"/>
      <c r="G45" s="34" t="s">
        <v>118</v>
      </c>
      <c r="H45" s="34" t="s">
        <v>125</v>
      </c>
      <c r="I45" s="3" t="s">
        <v>26</v>
      </c>
      <c r="J45" s="34" t="s">
        <v>264</v>
      </c>
      <c r="K45" s="34" t="s">
        <v>277</v>
      </c>
      <c r="L45" s="6" t="e">
        <f>IF(B46="",L44,B46)</f>
        <v>#REF!</v>
      </c>
    </row>
    <row r="46" spans="1:12" ht="12.75" customHeight="1" x14ac:dyDescent="0.2">
      <c r="A46" s="3">
        <f t="shared" si="0"/>
        <v>44</v>
      </c>
      <c r="B46" s="45"/>
      <c r="C46" s="56"/>
      <c r="D46" s="45" t="s">
        <v>83</v>
      </c>
      <c r="E46" s="31" t="s">
        <v>74</v>
      </c>
      <c r="F46" s="8"/>
      <c r="G46" s="8" t="s">
        <v>119</v>
      </c>
      <c r="H46" s="34" t="s">
        <v>142</v>
      </c>
      <c r="I46" s="3" t="s">
        <v>13</v>
      </c>
      <c r="J46" s="8" t="s">
        <v>284</v>
      </c>
      <c r="K46" s="34" t="s">
        <v>261</v>
      </c>
      <c r="L46" s="6" t="e">
        <f>IF(B47="",L45,B47)</f>
        <v>#REF!</v>
      </c>
    </row>
    <row r="47" spans="1:12" ht="12.75" customHeight="1" x14ac:dyDescent="0.25">
      <c r="A47" s="3">
        <f t="shared" si="0"/>
        <v>45</v>
      </c>
      <c r="B47" s="45"/>
      <c r="C47" s="56"/>
      <c r="D47" s="45"/>
      <c r="E47" s="33" t="s">
        <v>84</v>
      </c>
      <c r="G47" s="8" t="s">
        <v>120</v>
      </c>
      <c r="H47" s="38" t="s">
        <v>143</v>
      </c>
      <c r="I47" s="3" t="s">
        <v>13</v>
      </c>
      <c r="J47" s="33" t="s">
        <v>285</v>
      </c>
      <c r="K47" s="39" t="s">
        <v>261</v>
      </c>
      <c r="L47" s="6" t="e">
        <f>IF(B48="",L46,B48)</f>
        <v>#REF!</v>
      </c>
    </row>
    <row r="48" spans="1:12" ht="12.75" customHeight="1" x14ac:dyDescent="0.25">
      <c r="A48" s="3">
        <f t="shared" si="0"/>
        <v>46</v>
      </c>
      <c r="B48" s="45"/>
      <c r="C48" s="58"/>
      <c r="D48" s="46"/>
      <c r="E48" s="7" t="s">
        <v>85</v>
      </c>
      <c r="G48" s="33" t="s">
        <v>121</v>
      </c>
      <c r="H48" s="39" t="s">
        <v>144</v>
      </c>
      <c r="I48" s="3" t="s">
        <v>26</v>
      </c>
      <c r="J48" s="34" t="s">
        <v>286</v>
      </c>
      <c r="K48" s="34" t="s">
        <v>277</v>
      </c>
      <c r="L48" s="6" t="e">
        <f>IF(B49="",L47,B49)</f>
        <v>#REF!</v>
      </c>
    </row>
    <row r="49" spans="1:12" ht="12.75" customHeight="1" x14ac:dyDescent="0.2">
      <c r="A49" s="3">
        <f t="shared" si="0"/>
        <v>47</v>
      </c>
      <c r="B49" s="45"/>
      <c r="C49" s="65" t="s">
        <v>305</v>
      </c>
      <c r="D49" s="50" t="s">
        <v>112</v>
      </c>
      <c r="E49" s="28" t="s">
        <v>113</v>
      </c>
      <c r="F49" s="24" t="s">
        <v>150</v>
      </c>
      <c r="G49" s="8" t="s">
        <v>152</v>
      </c>
      <c r="H49" s="35" t="s">
        <v>145</v>
      </c>
      <c r="I49" s="3" t="s">
        <v>13</v>
      </c>
      <c r="J49" s="34" t="s">
        <v>287</v>
      </c>
      <c r="K49" s="34" t="s">
        <v>261</v>
      </c>
      <c r="L49" s="6" t="e">
        <f>IF(B50="",#REF!,B50)</f>
        <v>#REF!</v>
      </c>
    </row>
    <row r="50" spans="1:12" ht="12.75" customHeight="1" x14ac:dyDescent="0.2">
      <c r="A50" s="3">
        <f t="shared" ref="A50:A90" si="1">ROW()-2</f>
        <v>48</v>
      </c>
      <c r="B50" s="45"/>
      <c r="C50" s="53"/>
      <c r="D50" s="62"/>
      <c r="E50" s="28" t="s">
        <v>124</v>
      </c>
      <c r="F50" s="8" t="s">
        <v>151</v>
      </c>
      <c r="G50" s="8" t="s">
        <v>153</v>
      </c>
      <c r="H50" s="34" t="s">
        <v>146</v>
      </c>
      <c r="I50" s="3" t="s">
        <v>13</v>
      </c>
      <c r="J50" s="34" t="s">
        <v>288</v>
      </c>
      <c r="K50" s="34" t="s">
        <v>277</v>
      </c>
      <c r="L50" s="6" t="e">
        <f>IF(B51="",L49,B51)</f>
        <v>#REF!</v>
      </c>
    </row>
    <row r="51" spans="1:12" ht="12.75" customHeight="1" x14ac:dyDescent="0.2">
      <c r="A51" s="3">
        <f t="shared" si="1"/>
        <v>49</v>
      </c>
      <c r="B51" s="45"/>
      <c r="C51" s="53"/>
      <c r="D51" s="19" t="s">
        <v>76</v>
      </c>
      <c r="E51" s="29" t="s">
        <v>90</v>
      </c>
      <c r="F51" s="34" t="s">
        <v>98</v>
      </c>
      <c r="G51" s="8"/>
      <c r="H51" s="35" t="s">
        <v>132</v>
      </c>
      <c r="I51" s="3" t="s">
        <v>13</v>
      </c>
      <c r="J51" s="34" t="s">
        <v>273</v>
      </c>
      <c r="K51" s="34" t="s">
        <v>261</v>
      </c>
      <c r="L51" s="6" t="e">
        <f>IF(B52="",L50,B52)</f>
        <v>#REF!</v>
      </c>
    </row>
    <row r="52" spans="1:12" ht="12.75" customHeight="1" x14ac:dyDescent="0.2">
      <c r="A52" s="3">
        <f t="shared" si="1"/>
        <v>50</v>
      </c>
      <c r="B52" s="45"/>
      <c r="C52" s="53"/>
      <c r="D52" s="44" t="s">
        <v>77</v>
      </c>
      <c r="E52" s="28" t="s">
        <v>63</v>
      </c>
      <c r="F52" s="8" t="s">
        <v>24</v>
      </c>
      <c r="G52" s="34" t="s">
        <v>105</v>
      </c>
      <c r="H52" s="34" t="s">
        <v>133</v>
      </c>
      <c r="I52" s="3" t="s">
        <v>13</v>
      </c>
      <c r="J52" s="8" t="s">
        <v>272</v>
      </c>
      <c r="K52" s="34" t="s">
        <v>261</v>
      </c>
      <c r="L52" s="6" t="e">
        <f>IF(B53="",L51,B53)</f>
        <v>#REF!</v>
      </c>
    </row>
    <row r="53" spans="1:12" ht="12.75" customHeight="1" x14ac:dyDescent="0.2">
      <c r="A53" s="3">
        <f t="shared" si="1"/>
        <v>51</v>
      </c>
      <c r="B53" s="45"/>
      <c r="C53" s="53"/>
      <c r="D53" s="44"/>
      <c r="E53" s="29" t="s">
        <v>64</v>
      </c>
      <c r="F53" s="8" t="s">
        <v>28</v>
      </c>
      <c r="G53" s="8" t="s">
        <v>106</v>
      </c>
      <c r="H53" s="35" t="s">
        <v>134</v>
      </c>
      <c r="I53" s="3" t="s">
        <v>13</v>
      </c>
      <c r="J53" s="34" t="s">
        <v>274</v>
      </c>
      <c r="K53" s="34" t="s">
        <v>261</v>
      </c>
      <c r="L53" s="6" t="e">
        <f>IF(B55="",L52,B55)</f>
        <v>#REF!</v>
      </c>
    </row>
    <row r="54" spans="1:12" ht="12.75" customHeight="1" x14ac:dyDescent="0.2">
      <c r="A54" s="3">
        <f t="shared" si="1"/>
        <v>52</v>
      </c>
      <c r="B54" s="45"/>
      <c r="C54" s="53"/>
      <c r="D54" s="44" t="s">
        <v>78</v>
      </c>
      <c r="E54" s="29" t="s">
        <v>65</v>
      </c>
      <c r="F54" s="8"/>
      <c r="G54" s="8" t="s">
        <v>107</v>
      </c>
      <c r="H54" s="34" t="s">
        <v>135</v>
      </c>
      <c r="I54" s="3" t="s">
        <v>13</v>
      </c>
      <c r="J54" s="34" t="s">
        <v>275</v>
      </c>
      <c r="K54" s="34" t="s">
        <v>261</v>
      </c>
      <c r="L54" s="6"/>
    </row>
    <row r="55" spans="1:12" ht="12.75" customHeight="1" x14ac:dyDescent="0.2">
      <c r="A55" s="3">
        <f t="shared" si="1"/>
        <v>53</v>
      </c>
      <c r="B55" s="45"/>
      <c r="C55" s="53"/>
      <c r="D55" s="44"/>
      <c r="E55" s="29" t="s">
        <v>66</v>
      </c>
      <c r="F55" s="8"/>
      <c r="G55" s="8" t="s">
        <v>108</v>
      </c>
      <c r="H55" s="34" t="s">
        <v>135</v>
      </c>
      <c r="I55" s="3" t="s">
        <v>26</v>
      </c>
      <c r="J55" s="34" t="s">
        <v>276</v>
      </c>
      <c r="K55" s="34" t="s">
        <v>277</v>
      </c>
      <c r="L55" s="6" t="e">
        <f>IF(B56="",L53,B56)</f>
        <v>#REF!</v>
      </c>
    </row>
    <row r="56" spans="1:12" ht="12.75" customHeight="1" x14ac:dyDescent="0.2">
      <c r="A56" s="3">
        <f t="shared" si="1"/>
        <v>54</v>
      </c>
      <c r="B56" s="45"/>
      <c r="C56" s="53"/>
      <c r="D56" s="44" t="s">
        <v>87</v>
      </c>
      <c r="E56" s="29" t="s">
        <v>86</v>
      </c>
      <c r="F56" s="8"/>
      <c r="G56" s="8" t="s">
        <v>109</v>
      </c>
      <c r="H56" s="8" t="s">
        <v>136</v>
      </c>
      <c r="I56" s="3" t="s">
        <v>13</v>
      </c>
      <c r="J56" s="8" t="s">
        <v>278</v>
      </c>
      <c r="K56" s="34" t="s">
        <v>261</v>
      </c>
      <c r="L56" s="6" t="e">
        <f>IF(B57="",L55,B57)</f>
        <v>#REF!</v>
      </c>
    </row>
    <row r="57" spans="1:12" ht="12.75" customHeight="1" x14ac:dyDescent="0.25">
      <c r="A57" s="3">
        <f t="shared" si="1"/>
        <v>55</v>
      </c>
      <c r="B57" s="45"/>
      <c r="C57" s="53"/>
      <c r="D57" s="44"/>
      <c r="E57" s="29" t="s">
        <v>67</v>
      </c>
      <c r="F57" s="35"/>
      <c r="G57" s="33" t="s">
        <v>111</v>
      </c>
      <c r="H57" s="37" t="s">
        <v>137</v>
      </c>
      <c r="I57" s="3" t="s">
        <v>13</v>
      </c>
      <c r="J57" s="34" t="s">
        <v>279</v>
      </c>
      <c r="K57" s="34" t="s">
        <v>261</v>
      </c>
      <c r="L57" s="6" t="e">
        <f>IF(B58="",L56,B58)</f>
        <v>#REF!</v>
      </c>
    </row>
    <row r="58" spans="1:12" ht="12.75" customHeight="1" x14ac:dyDescent="0.2">
      <c r="A58" s="3">
        <f t="shared" si="1"/>
        <v>56</v>
      </c>
      <c r="B58" s="45"/>
      <c r="C58" s="53"/>
      <c r="D58" s="44" t="s">
        <v>79</v>
      </c>
      <c r="E58" s="28" t="s">
        <v>68</v>
      </c>
      <c r="F58" s="36" t="s">
        <v>99</v>
      </c>
      <c r="G58" s="8" t="s">
        <v>110</v>
      </c>
      <c r="H58" s="34" t="s">
        <v>138</v>
      </c>
      <c r="I58" s="3" t="s">
        <v>26</v>
      </c>
      <c r="J58" s="34" t="s">
        <v>280</v>
      </c>
      <c r="K58" s="34" t="s">
        <v>277</v>
      </c>
      <c r="L58" s="6" t="e">
        <f>IF(B59="",L57,B59)</f>
        <v>#REF!</v>
      </c>
    </row>
    <row r="59" spans="1:12" ht="12.75" customHeight="1" x14ac:dyDescent="0.2">
      <c r="A59" s="3">
        <f t="shared" si="1"/>
        <v>57</v>
      </c>
      <c r="B59" s="45"/>
      <c r="C59" s="53"/>
      <c r="D59" s="44"/>
      <c r="E59" s="29" t="s">
        <v>69</v>
      </c>
      <c r="F59" s="8"/>
      <c r="G59" s="8" t="s">
        <v>114</v>
      </c>
      <c r="H59" s="35" t="s">
        <v>139</v>
      </c>
      <c r="I59" s="3" t="s">
        <v>252</v>
      </c>
      <c r="J59" s="34" t="s">
        <v>281</v>
      </c>
      <c r="K59" s="34" t="s">
        <v>277</v>
      </c>
      <c r="L59" s="6" t="e">
        <f>IF(#REF!="",L58,#REF!)</f>
        <v>#REF!</v>
      </c>
    </row>
    <row r="60" spans="1:12" ht="12.75" customHeight="1" x14ac:dyDescent="0.2">
      <c r="A60" s="3">
        <f t="shared" si="1"/>
        <v>58</v>
      </c>
      <c r="B60" s="45"/>
      <c r="C60" s="53"/>
      <c r="D60" s="44" t="s">
        <v>80</v>
      </c>
      <c r="E60" s="29" t="s">
        <v>70</v>
      </c>
      <c r="F60" s="8"/>
      <c r="G60" s="8" t="s">
        <v>115</v>
      </c>
      <c r="H60" s="37" t="s">
        <v>140</v>
      </c>
      <c r="I60" s="3" t="s">
        <v>26</v>
      </c>
      <c r="J60" s="34" t="s">
        <v>282</v>
      </c>
      <c r="K60" s="34" t="s">
        <v>277</v>
      </c>
      <c r="L60" s="6" t="e">
        <f>IF(#REF!="",#REF!,#REF!)</f>
        <v>#REF!</v>
      </c>
    </row>
    <row r="61" spans="1:12" ht="12.75" customHeight="1" x14ac:dyDescent="0.2">
      <c r="A61" s="3">
        <f t="shared" si="1"/>
        <v>59</v>
      </c>
      <c r="B61" s="45"/>
      <c r="C61" s="53"/>
      <c r="D61" s="44"/>
      <c r="E61" s="29" t="s">
        <v>71</v>
      </c>
      <c r="F61" s="8"/>
      <c r="G61" s="8" t="s">
        <v>116</v>
      </c>
      <c r="H61" s="37" t="s">
        <v>141</v>
      </c>
      <c r="I61" s="3" t="s">
        <v>26</v>
      </c>
      <c r="J61" s="34" t="s">
        <v>282</v>
      </c>
      <c r="K61" s="34" t="s">
        <v>277</v>
      </c>
      <c r="L61" s="6" t="e">
        <f>IF(B62="",L60,B62)</f>
        <v>#REF!</v>
      </c>
    </row>
    <row r="62" spans="1:12" ht="12.75" customHeight="1" x14ac:dyDescent="0.25">
      <c r="A62" s="3">
        <f t="shared" si="1"/>
        <v>60</v>
      </c>
      <c r="B62" s="45"/>
      <c r="C62" s="53"/>
      <c r="D62" s="32" t="s">
        <v>81</v>
      </c>
      <c r="E62" s="29" t="s">
        <v>72</v>
      </c>
      <c r="F62" s="34" t="s">
        <v>154</v>
      </c>
      <c r="G62" s="39" t="s">
        <v>148</v>
      </c>
      <c r="H62" s="34" t="s">
        <v>149</v>
      </c>
      <c r="I62" s="3" t="s">
        <v>13</v>
      </c>
      <c r="J62" s="34" t="s">
        <v>283</v>
      </c>
      <c r="K62" s="34" t="s">
        <v>261</v>
      </c>
      <c r="L62" s="6" t="e">
        <f>IF(B63="",L61,B63)</f>
        <v>#REF!</v>
      </c>
    </row>
    <row r="63" spans="1:12" ht="12.75" customHeight="1" x14ac:dyDescent="0.2">
      <c r="A63" s="3">
        <f t="shared" si="1"/>
        <v>61</v>
      </c>
      <c r="B63" s="45"/>
      <c r="C63" s="53"/>
      <c r="D63" s="32" t="s">
        <v>82</v>
      </c>
      <c r="E63" s="28" t="s">
        <v>73</v>
      </c>
      <c r="F63" s="8"/>
      <c r="G63" s="34" t="s">
        <v>118</v>
      </c>
      <c r="H63" s="34" t="s">
        <v>125</v>
      </c>
      <c r="I63" s="3" t="s">
        <v>26</v>
      </c>
      <c r="J63" s="34" t="s">
        <v>264</v>
      </c>
      <c r="K63" s="34" t="s">
        <v>277</v>
      </c>
    </row>
    <row r="64" spans="1:12" ht="12.75" customHeight="1" x14ac:dyDescent="0.2">
      <c r="A64" s="3">
        <f t="shared" si="1"/>
        <v>62</v>
      </c>
      <c r="B64" s="45"/>
      <c r="C64" s="53"/>
      <c r="D64" s="45" t="s">
        <v>83</v>
      </c>
      <c r="E64" s="31" t="s">
        <v>74</v>
      </c>
      <c r="F64" s="8"/>
      <c r="G64" s="8" t="s">
        <v>119</v>
      </c>
      <c r="H64" s="34" t="s">
        <v>142</v>
      </c>
      <c r="I64" s="3" t="s">
        <v>13</v>
      </c>
      <c r="J64" s="8" t="s">
        <v>284</v>
      </c>
      <c r="K64" s="34" t="s">
        <v>261</v>
      </c>
      <c r="L64" s="6">
        <f>IF(B61="",L63,B61)</f>
        <v>0</v>
      </c>
    </row>
    <row r="65" spans="1:12" ht="12.75" customHeight="1" x14ac:dyDescent="0.25">
      <c r="A65" s="3">
        <f t="shared" si="1"/>
        <v>63</v>
      </c>
      <c r="B65" s="45"/>
      <c r="C65" s="53"/>
      <c r="D65" s="45"/>
      <c r="E65" s="33" t="s">
        <v>84</v>
      </c>
      <c r="G65" s="8" t="s">
        <v>120</v>
      </c>
      <c r="H65" s="38" t="s">
        <v>143</v>
      </c>
      <c r="I65" s="3" t="s">
        <v>13</v>
      </c>
      <c r="J65" s="33" t="s">
        <v>285</v>
      </c>
      <c r="K65" s="39" t="s">
        <v>261</v>
      </c>
    </row>
    <row r="66" spans="1:12" ht="12.75" customHeight="1" x14ac:dyDescent="0.25">
      <c r="A66" s="3">
        <f t="shared" si="1"/>
        <v>64</v>
      </c>
      <c r="B66" s="45"/>
      <c r="C66" s="64"/>
      <c r="D66" s="46"/>
      <c r="E66" s="7" t="s">
        <v>85</v>
      </c>
      <c r="G66" s="33" t="s">
        <v>121</v>
      </c>
      <c r="H66" s="39" t="s">
        <v>144</v>
      </c>
      <c r="I66" s="3" t="s">
        <v>26</v>
      </c>
      <c r="J66" s="34" t="s">
        <v>286</v>
      </c>
      <c r="K66" s="34" t="s">
        <v>277</v>
      </c>
    </row>
    <row r="67" spans="1:12" ht="12.75" customHeight="1" x14ac:dyDescent="0.2">
      <c r="A67" s="3">
        <f t="shared" si="1"/>
        <v>65</v>
      </c>
      <c r="B67" s="57" t="s">
        <v>192</v>
      </c>
      <c r="C67" s="60" t="s">
        <v>166</v>
      </c>
      <c r="D67" s="50" t="s">
        <v>155</v>
      </c>
      <c r="E67" s="28" t="s">
        <v>156</v>
      </c>
      <c r="F67" s="34" t="s">
        <v>157</v>
      </c>
      <c r="G67" s="8" t="s">
        <v>158</v>
      </c>
      <c r="H67" s="35" t="s">
        <v>159</v>
      </c>
      <c r="I67" s="3" t="s">
        <v>13</v>
      </c>
      <c r="J67" s="8"/>
      <c r="K67" s="8"/>
      <c r="L67" s="6" t="e">
        <f>IF(B68="",#REF!,B68)</f>
        <v>#REF!</v>
      </c>
    </row>
    <row r="68" spans="1:12" ht="12.75" customHeight="1" x14ac:dyDescent="0.2">
      <c r="A68" s="3">
        <f t="shared" si="1"/>
        <v>66</v>
      </c>
      <c r="B68" s="57"/>
      <c r="C68" s="61"/>
      <c r="D68" s="44"/>
      <c r="E68" s="28" t="s">
        <v>161</v>
      </c>
      <c r="F68" s="34" t="s">
        <v>160</v>
      </c>
      <c r="G68" s="8" t="s">
        <v>162</v>
      </c>
      <c r="H68" s="34" t="s">
        <v>161</v>
      </c>
      <c r="I68" s="3" t="s">
        <v>26</v>
      </c>
      <c r="J68" s="34" t="s">
        <v>289</v>
      </c>
      <c r="K68" s="34" t="s">
        <v>277</v>
      </c>
      <c r="L68" s="6" t="e">
        <f>IF(B69="",L67,B69)</f>
        <v>#REF!</v>
      </c>
    </row>
    <row r="69" spans="1:12" ht="12.75" customHeight="1" x14ac:dyDescent="0.2">
      <c r="A69" s="3">
        <f t="shared" si="1"/>
        <v>67</v>
      </c>
      <c r="B69" s="57"/>
      <c r="C69" s="61"/>
      <c r="D69" s="44"/>
      <c r="E69" s="29" t="s">
        <v>163</v>
      </c>
      <c r="F69" s="34" t="s">
        <v>154</v>
      </c>
      <c r="G69" s="8" t="s">
        <v>164</v>
      </c>
      <c r="H69" s="35" t="s">
        <v>165</v>
      </c>
      <c r="I69" s="3" t="s">
        <v>26</v>
      </c>
      <c r="J69" s="34" t="s">
        <v>290</v>
      </c>
      <c r="K69" s="34" t="s">
        <v>277</v>
      </c>
      <c r="L69" s="6" t="e">
        <f>IF(B70="",L68,B70)</f>
        <v>#REF!</v>
      </c>
    </row>
    <row r="70" spans="1:12" ht="12.75" customHeight="1" x14ac:dyDescent="0.2">
      <c r="A70" s="3">
        <f t="shared" si="1"/>
        <v>68</v>
      </c>
      <c r="B70" s="57"/>
      <c r="C70" s="59" t="s">
        <v>167</v>
      </c>
      <c r="D70" s="44" t="s">
        <v>168</v>
      </c>
      <c r="E70" s="28" t="s">
        <v>169</v>
      </c>
      <c r="F70" s="34" t="s">
        <v>170</v>
      </c>
      <c r="G70" s="34" t="s">
        <v>171</v>
      </c>
      <c r="H70" s="34" t="s">
        <v>172</v>
      </c>
      <c r="I70" s="3" t="s">
        <v>13</v>
      </c>
      <c r="J70" s="34" t="s">
        <v>291</v>
      </c>
      <c r="K70" s="8"/>
      <c r="L70" s="6" t="e">
        <f>IF(B71="",L69,B71)</f>
        <v>#REF!</v>
      </c>
    </row>
    <row r="71" spans="1:12" ht="12.75" customHeight="1" x14ac:dyDescent="0.2">
      <c r="A71" s="3">
        <f t="shared" si="1"/>
        <v>69</v>
      </c>
      <c r="B71" s="57"/>
      <c r="C71" s="59"/>
      <c r="D71" s="44"/>
      <c r="E71" s="29" t="s">
        <v>173</v>
      </c>
      <c r="F71" s="35" t="s">
        <v>174</v>
      </c>
      <c r="G71" s="8" t="s">
        <v>175</v>
      </c>
      <c r="H71" s="35" t="s">
        <v>125</v>
      </c>
      <c r="I71" s="3" t="s">
        <v>13</v>
      </c>
      <c r="J71" s="34" t="s">
        <v>264</v>
      </c>
      <c r="K71" s="8"/>
      <c r="L71" s="6" t="e">
        <f>IF(B73="",L70,B73)</f>
        <v>#REF!</v>
      </c>
    </row>
    <row r="72" spans="1:12" ht="12.75" customHeight="1" x14ac:dyDescent="0.2">
      <c r="A72" s="3">
        <f t="shared" si="1"/>
        <v>70</v>
      </c>
      <c r="B72" s="57"/>
      <c r="C72" s="59"/>
      <c r="D72" s="44"/>
      <c r="E72" s="29" t="s">
        <v>176</v>
      </c>
      <c r="F72" s="34" t="s">
        <v>174</v>
      </c>
      <c r="G72" s="8" t="s">
        <v>177</v>
      </c>
      <c r="H72" s="34" t="s">
        <v>172</v>
      </c>
      <c r="I72" s="3" t="s">
        <v>13</v>
      </c>
      <c r="J72" s="24" t="s">
        <v>292</v>
      </c>
      <c r="K72" s="8"/>
      <c r="L72" s="6"/>
    </row>
    <row r="73" spans="1:12" ht="12.75" customHeight="1" x14ac:dyDescent="0.2">
      <c r="A73" s="3">
        <f t="shared" si="1"/>
        <v>71</v>
      </c>
      <c r="B73" s="57"/>
      <c r="C73" s="59"/>
      <c r="D73" s="44"/>
      <c r="E73" s="29" t="s">
        <v>178</v>
      </c>
      <c r="F73" s="34" t="s">
        <v>174</v>
      </c>
      <c r="G73" s="8" t="s">
        <v>179</v>
      </c>
      <c r="H73" s="34" t="s">
        <v>125</v>
      </c>
      <c r="I73" s="3" t="s">
        <v>13</v>
      </c>
      <c r="J73" s="34" t="s">
        <v>264</v>
      </c>
      <c r="K73" s="34" t="s">
        <v>261</v>
      </c>
      <c r="L73" s="6" t="e">
        <f>IF(B74="",L71,B74)</f>
        <v>#REF!</v>
      </c>
    </row>
    <row r="74" spans="1:12" ht="12.75" customHeight="1" x14ac:dyDescent="0.2">
      <c r="A74" s="3">
        <f t="shared" si="1"/>
        <v>72</v>
      </c>
      <c r="B74" s="57"/>
      <c r="C74" s="59"/>
      <c r="D74" s="40" t="s">
        <v>87</v>
      </c>
      <c r="E74" s="29" t="s">
        <v>180</v>
      </c>
      <c r="F74" s="34" t="s">
        <v>181</v>
      </c>
      <c r="G74" s="8" t="s">
        <v>182</v>
      </c>
      <c r="H74" s="34" t="s">
        <v>183</v>
      </c>
      <c r="I74" s="3" t="s">
        <v>26</v>
      </c>
      <c r="J74" s="34" t="s">
        <v>293</v>
      </c>
      <c r="K74" s="34" t="s">
        <v>294</v>
      </c>
      <c r="L74" s="6" t="e">
        <f>IF(B75="",L73,B75)</f>
        <v>#REF!</v>
      </c>
    </row>
    <row r="75" spans="1:12" ht="12.75" customHeight="1" x14ac:dyDescent="0.25">
      <c r="A75" s="3">
        <f t="shared" si="1"/>
        <v>73</v>
      </c>
      <c r="B75" s="57"/>
      <c r="C75" s="59"/>
      <c r="D75" s="40" t="s">
        <v>251</v>
      </c>
      <c r="E75" s="29" t="s">
        <v>184</v>
      </c>
      <c r="F75" s="35" t="s">
        <v>185</v>
      </c>
      <c r="G75" s="33" t="s">
        <v>186</v>
      </c>
      <c r="H75" s="35" t="s">
        <v>187</v>
      </c>
      <c r="I75" s="3" t="s">
        <v>26</v>
      </c>
      <c r="J75" s="34" t="s">
        <v>293</v>
      </c>
      <c r="K75" s="34" t="s">
        <v>294</v>
      </c>
      <c r="L75" s="6" t="e">
        <f>IF(B76="",L74,B76)</f>
        <v>#REF!</v>
      </c>
    </row>
    <row r="76" spans="1:12" ht="12.75" customHeight="1" x14ac:dyDescent="0.2">
      <c r="A76" s="3">
        <f t="shared" si="1"/>
        <v>74</v>
      </c>
      <c r="B76" s="57"/>
      <c r="C76" s="59"/>
      <c r="D76" s="40" t="s">
        <v>79</v>
      </c>
      <c r="E76" s="28" t="s">
        <v>188</v>
      </c>
      <c r="F76" s="36" t="s">
        <v>189</v>
      </c>
      <c r="G76" s="8" t="s">
        <v>190</v>
      </c>
      <c r="H76" s="34" t="s">
        <v>191</v>
      </c>
      <c r="I76" s="3" t="s">
        <v>13</v>
      </c>
      <c r="J76" s="34" t="s">
        <v>293</v>
      </c>
      <c r="K76" s="34" t="s">
        <v>277</v>
      </c>
      <c r="L76" s="6" t="e">
        <f>IF(B77="",L75,B77)</f>
        <v>#REF!</v>
      </c>
    </row>
    <row r="77" spans="1:12" ht="12.75" customHeight="1" x14ac:dyDescent="0.2">
      <c r="A77" s="3">
        <f t="shared" si="1"/>
        <v>75</v>
      </c>
      <c r="B77" s="57"/>
      <c r="C77" s="56" t="s">
        <v>193</v>
      </c>
      <c r="D77" s="40" t="s">
        <v>194</v>
      </c>
      <c r="E77" s="29" t="s">
        <v>195</v>
      </c>
      <c r="F77" s="8" t="s">
        <v>196</v>
      </c>
      <c r="G77" s="8" t="s">
        <v>197</v>
      </c>
      <c r="H77" s="35" t="s">
        <v>198</v>
      </c>
      <c r="I77" s="3" t="s">
        <v>13</v>
      </c>
      <c r="J77" s="34" t="s">
        <v>295</v>
      </c>
      <c r="K77" s="8"/>
      <c r="L77" s="6" t="e">
        <f>IF(#REF!="",L76,#REF!)</f>
        <v>#REF!</v>
      </c>
    </row>
    <row r="78" spans="1:12" ht="12.75" customHeight="1" x14ac:dyDescent="0.2">
      <c r="A78" s="3">
        <f t="shared" si="1"/>
        <v>76</v>
      </c>
      <c r="B78" s="57"/>
      <c r="C78" s="56"/>
      <c r="D78" s="40" t="s">
        <v>199</v>
      </c>
      <c r="E78" s="29" t="s">
        <v>200</v>
      </c>
      <c r="F78" s="34" t="s">
        <v>201</v>
      </c>
      <c r="G78" s="8" t="s">
        <v>202</v>
      </c>
      <c r="H78" s="35" t="s">
        <v>203</v>
      </c>
      <c r="I78" s="3" t="s">
        <v>13</v>
      </c>
      <c r="J78" s="34" t="s">
        <v>296</v>
      </c>
      <c r="K78" s="34" t="s">
        <v>261</v>
      </c>
      <c r="L78" s="6" t="e">
        <f>IF(B79="",#REF!,B79)</f>
        <v>#REF!</v>
      </c>
    </row>
    <row r="79" spans="1:12" ht="12.75" customHeight="1" x14ac:dyDescent="0.2">
      <c r="A79" s="3">
        <f t="shared" si="1"/>
        <v>77</v>
      </c>
      <c r="B79" s="57"/>
      <c r="C79" s="56"/>
      <c r="D79" s="44" t="s">
        <v>166</v>
      </c>
      <c r="E79" s="29" t="s">
        <v>204</v>
      </c>
      <c r="F79" s="34" t="s">
        <v>205</v>
      </c>
      <c r="G79" s="8" t="s">
        <v>206</v>
      </c>
      <c r="H79" s="35" t="s">
        <v>207</v>
      </c>
      <c r="I79" s="3" t="s">
        <v>13</v>
      </c>
      <c r="J79" s="34" t="s">
        <v>297</v>
      </c>
      <c r="K79" s="8"/>
      <c r="L79" s="6" t="e">
        <f>IF(B80="",L78,B80)</f>
        <v>#REF!</v>
      </c>
    </row>
    <row r="80" spans="1:12" ht="12.75" customHeight="1" x14ac:dyDescent="0.25">
      <c r="A80" s="3">
        <f t="shared" si="1"/>
        <v>78</v>
      </c>
      <c r="B80" s="57"/>
      <c r="C80" s="56"/>
      <c r="D80" s="44"/>
      <c r="E80" s="29" t="s">
        <v>208</v>
      </c>
      <c r="F80" s="34" t="s">
        <v>209</v>
      </c>
      <c r="G80" s="39" t="s">
        <v>210</v>
      </c>
      <c r="H80" s="34" t="s">
        <v>211</v>
      </c>
      <c r="I80" s="3" t="s">
        <v>13</v>
      </c>
      <c r="J80" s="34" t="s">
        <v>298</v>
      </c>
      <c r="K80" s="8"/>
      <c r="L80" s="6" t="e">
        <f>IF(B81="",L79,B81)</f>
        <v>#REF!</v>
      </c>
    </row>
    <row r="81" spans="1:12" ht="12.75" customHeight="1" x14ac:dyDescent="0.2">
      <c r="A81" s="3">
        <f t="shared" si="1"/>
        <v>79</v>
      </c>
      <c r="B81" s="57"/>
      <c r="C81" s="56"/>
      <c r="D81" s="44"/>
      <c r="E81" s="28" t="s">
        <v>212</v>
      </c>
      <c r="F81" s="34" t="s">
        <v>213</v>
      </c>
      <c r="G81" s="34" t="s">
        <v>214</v>
      </c>
      <c r="H81" s="34" t="s">
        <v>126</v>
      </c>
      <c r="I81" s="3" t="s">
        <v>13</v>
      </c>
      <c r="J81" s="34" t="s">
        <v>264</v>
      </c>
    </row>
    <row r="82" spans="1:12" ht="12.75" customHeight="1" x14ac:dyDescent="0.2">
      <c r="A82" s="3">
        <f t="shared" si="1"/>
        <v>80</v>
      </c>
      <c r="B82" s="57"/>
      <c r="C82" s="56"/>
      <c r="D82" s="44"/>
      <c r="E82" s="29" t="s">
        <v>215</v>
      </c>
      <c r="F82" s="24" t="s">
        <v>216</v>
      </c>
      <c r="G82" s="8" t="s">
        <v>217</v>
      </c>
      <c r="H82" s="34" t="s">
        <v>218</v>
      </c>
      <c r="I82" s="3" t="s">
        <v>13</v>
      </c>
      <c r="J82" s="34" t="s">
        <v>299</v>
      </c>
      <c r="K82" s="8"/>
      <c r="L82" s="6">
        <f>IF(B82="",L81,B82)</f>
        <v>0</v>
      </c>
    </row>
    <row r="83" spans="1:12" ht="12.75" customHeight="1" x14ac:dyDescent="0.25">
      <c r="A83" s="3">
        <f t="shared" si="1"/>
        <v>81</v>
      </c>
      <c r="B83" s="57"/>
      <c r="C83" s="56"/>
      <c r="D83" s="44"/>
      <c r="E83" s="41" t="s">
        <v>219</v>
      </c>
      <c r="F83" s="39" t="s">
        <v>213</v>
      </c>
      <c r="G83" s="8" t="s">
        <v>220</v>
      </c>
      <c r="H83" s="35" t="s">
        <v>125</v>
      </c>
      <c r="I83" s="3" t="s">
        <v>13</v>
      </c>
      <c r="J83" s="39" t="s">
        <v>297</v>
      </c>
    </row>
    <row r="84" spans="1:12" ht="12.75" customHeight="1" x14ac:dyDescent="0.25">
      <c r="A84" s="3">
        <f t="shared" si="1"/>
        <v>82</v>
      </c>
      <c r="B84" s="57"/>
      <c r="C84" s="56"/>
      <c r="D84" s="44"/>
      <c r="E84" s="28" t="s">
        <v>221</v>
      </c>
      <c r="F84" s="39" t="s">
        <v>222</v>
      </c>
      <c r="G84" s="33" t="s">
        <v>223</v>
      </c>
      <c r="H84" s="39" t="s">
        <v>224</v>
      </c>
      <c r="I84" s="3" t="s">
        <v>13</v>
      </c>
      <c r="J84" s="34" t="s">
        <v>300</v>
      </c>
    </row>
    <row r="85" spans="1:12" ht="12.75" customHeight="1" x14ac:dyDescent="0.2">
      <c r="A85" s="3">
        <f t="shared" si="1"/>
        <v>83</v>
      </c>
      <c r="B85" s="57"/>
      <c r="C85" s="56"/>
      <c r="D85" s="44"/>
      <c r="E85" s="29" t="s">
        <v>225</v>
      </c>
      <c r="F85" s="34" t="s">
        <v>226</v>
      </c>
      <c r="G85" s="8" t="s">
        <v>227</v>
      </c>
      <c r="H85" s="34" t="s">
        <v>228</v>
      </c>
      <c r="I85" s="3" t="s">
        <v>13</v>
      </c>
      <c r="J85" s="34" t="s">
        <v>301</v>
      </c>
      <c r="K85" s="8"/>
      <c r="L85" s="6">
        <f>IF(B85="",L84,B85)</f>
        <v>0</v>
      </c>
    </row>
    <row r="86" spans="1:12" ht="12.75" customHeight="1" x14ac:dyDescent="0.25">
      <c r="A86" s="3">
        <f t="shared" si="1"/>
        <v>84</v>
      </c>
      <c r="B86" s="57"/>
      <c r="C86" s="56"/>
      <c r="D86" s="44"/>
      <c r="E86" s="41" t="s">
        <v>229</v>
      </c>
      <c r="F86" s="39" t="s">
        <v>230</v>
      </c>
      <c r="G86" s="8" t="s">
        <v>231</v>
      </c>
      <c r="H86" s="35" t="s">
        <v>126</v>
      </c>
      <c r="I86" s="3" t="s">
        <v>13</v>
      </c>
      <c r="J86" s="39" t="s">
        <v>264</v>
      </c>
    </row>
    <row r="87" spans="1:12" ht="12.75" customHeight="1" x14ac:dyDescent="0.25">
      <c r="A87" s="3">
        <f t="shared" si="1"/>
        <v>85</v>
      </c>
      <c r="B87" s="57"/>
      <c r="C87" s="56" t="s">
        <v>232</v>
      </c>
      <c r="D87" s="43" t="s">
        <v>237</v>
      </c>
      <c r="E87" s="28" t="s">
        <v>238</v>
      </c>
      <c r="F87" s="39" t="s">
        <v>239</v>
      </c>
      <c r="G87" s="33" t="s">
        <v>240</v>
      </c>
      <c r="H87" s="39" t="s">
        <v>125</v>
      </c>
      <c r="I87" s="3" t="s">
        <v>13</v>
      </c>
      <c r="J87" s="34" t="s">
        <v>301</v>
      </c>
    </row>
    <row r="88" spans="1:12" ht="12.75" customHeight="1" x14ac:dyDescent="0.2">
      <c r="A88" s="3">
        <f t="shared" si="1"/>
        <v>86</v>
      </c>
      <c r="B88" s="57"/>
      <c r="C88" s="56"/>
      <c r="D88" s="40" t="s">
        <v>236</v>
      </c>
      <c r="E88" s="29" t="s">
        <v>241</v>
      </c>
      <c r="F88" s="34" t="s">
        <v>242</v>
      </c>
      <c r="G88" s="8" t="s">
        <v>243</v>
      </c>
      <c r="H88" s="34" t="s">
        <v>125</v>
      </c>
      <c r="I88" s="3" t="s">
        <v>13</v>
      </c>
      <c r="J88" s="34" t="s">
        <v>264</v>
      </c>
      <c r="K88" s="8"/>
      <c r="L88" s="6">
        <f>IF(B88="",L87,B88)</f>
        <v>0</v>
      </c>
    </row>
    <row r="89" spans="1:12" ht="12.75" customHeight="1" x14ac:dyDescent="0.25">
      <c r="A89" s="3">
        <f t="shared" si="1"/>
        <v>87</v>
      </c>
      <c r="B89" s="57"/>
      <c r="C89" s="56"/>
      <c r="D89" s="42" t="s">
        <v>235</v>
      </c>
      <c r="E89" s="41" t="s">
        <v>244</v>
      </c>
      <c r="F89" s="39" t="s">
        <v>245</v>
      </c>
      <c r="G89" s="8" t="s">
        <v>246</v>
      </c>
      <c r="H89" s="35" t="s">
        <v>247</v>
      </c>
      <c r="I89" s="3" t="s">
        <v>13</v>
      </c>
      <c r="J89" s="39" t="s">
        <v>302</v>
      </c>
    </row>
    <row r="90" spans="1:12" ht="12.75" customHeight="1" x14ac:dyDescent="0.25">
      <c r="A90" s="3">
        <f t="shared" si="1"/>
        <v>88</v>
      </c>
      <c r="B90" s="57"/>
      <c r="C90" s="58"/>
      <c r="D90" s="43" t="s">
        <v>234</v>
      </c>
      <c r="E90" s="28" t="s">
        <v>233</v>
      </c>
      <c r="F90" s="39" t="s">
        <v>248</v>
      </c>
      <c r="G90" s="33" t="s">
        <v>249</v>
      </c>
      <c r="H90" s="39" t="s">
        <v>250</v>
      </c>
      <c r="I90" s="3" t="s">
        <v>13</v>
      </c>
      <c r="J90" s="34" t="s">
        <v>303</v>
      </c>
    </row>
  </sheetData>
  <mergeCells count="38">
    <mergeCell ref="B15:B66"/>
    <mergeCell ref="D49:D50"/>
    <mergeCell ref="D31:D32"/>
    <mergeCell ref="C31:C48"/>
    <mergeCell ref="C49:C66"/>
    <mergeCell ref="B67:B90"/>
    <mergeCell ref="D67:D69"/>
    <mergeCell ref="D70:D73"/>
    <mergeCell ref="D79:D86"/>
    <mergeCell ref="C87:C90"/>
    <mergeCell ref="C77:C86"/>
    <mergeCell ref="C70:C76"/>
    <mergeCell ref="C67:C69"/>
    <mergeCell ref="D20:D21"/>
    <mergeCell ref="D60:D61"/>
    <mergeCell ref="D64:D66"/>
    <mergeCell ref="B11:B14"/>
    <mergeCell ref="D54:D55"/>
    <mergeCell ref="D38:D39"/>
    <mergeCell ref="D22:D23"/>
    <mergeCell ref="D24:D25"/>
    <mergeCell ref="C15:C30"/>
    <mergeCell ref="D28:D30"/>
    <mergeCell ref="D16:D17"/>
    <mergeCell ref="D18:D19"/>
    <mergeCell ref="D34:D35"/>
    <mergeCell ref="B2:B10"/>
    <mergeCell ref="C4:C9"/>
    <mergeCell ref="D4:D5"/>
    <mergeCell ref="D6:D7"/>
    <mergeCell ref="C11:C14"/>
    <mergeCell ref="D56:D57"/>
    <mergeCell ref="D58:D59"/>
    <mergeCell ref="D36:D37"/>
    <mergeCell ref="D40:D41"/>
    <mergeCell ref="D42:D43"/>
    <mergeCell ref="D46:D48"/>
    <mergeCell ref="D52:D53"/>
  </mergeCells>
  <phoneticPr fontId="7" type="noConversion"/>
  <conditionalFormatting sqref="A1:G1">
    <cfRule type="containsBlanks" dxfId="22" priority="343">
      <formula>LEN(TRIM(A1))=0</formula>
    </cfRule>
    <cfRule type="containsText" dxfId="21" priority="346" operator="containsText" text="Pass">
      <formula>NOT(ISERROR(SEARCH(("Pass"),(A1))))</formula>
    </cfRule>
    <cfRule type="containsText" dxfId="20" priority="350" operator="containsText" text="Fail">
      <formula>NOT(ISERROR(SEARCH(("Fail"),(A1))))</formula>
    </cfRule>
    <cfRule type="containsText" dxfId="19" priority="354" operator="containsText" text="Block">
      <formula>NOT(ISERROR(SEARCH(("Block"),(A1))))</formula>
    </cfRule>
    <cfRule type="containsText" dxfId="18" priority="358" operator="containsText" text="N/A">
      <formula>NOT(ISERROR(SEARCH(("N/A"),(A1))))</formula>
    </cfRule>
    <cfRule type="containsText" dxfId="17" priority="362" operator="containsText" text="N/T">
      <formula>NOT(ISERROR(SEARCH(("N/T"),(A1))))</formula>
    </cfRule>
  </conditionalFormatting>
  <conditionalFormatting sqref="I1">
    <cfRule type="containsText" dxfId="16" priority="349" operator="containsText" text="Pass">
      <formula>NOT(ISERROR(SEARCH(("Pass"),(I1))))</formula>
    </cfRule>
    <cfRule type="containsText" dxfId="15" priority="353" operator="containsText" text="Fail">
      <formula>NOT(ISERROR(SEARCH(("Fail"),(I1))))</formula>
    </cfRule>
    <cfRule type="containsText" dxfId="14" priority="357" operator="containsText" text="Block">
      <formula>NOT(ISERROR(SEARCH(("Block"),(I1))))</formula>
    </cfRule>
    <cfRule type="containsText" dxfId="13" priority="361" operator="containsText" text="N/A">
      <formula>NOT(ISERROR(SEARCH(("N/A"),(I1))))</formula>
    </cfRule>
  </conditionalFormatting>
  <conditionalFormatting sqref="I1:I2">
    <cfRule type="containsText" dxfId="12" priority="363" operator="containsText" text="N/T">
      <formula>NOT(ISERROR(SEARCH(("N/T"),(I1))))</formula>
    </cfRule>
  </conditionalFormatting>
  <conditionalFormatting sqref="I1:I90">
    <cfRule type="containsBlanks" dxfId="11" priority="1">
      <formula>LEN(TRIM(I1))=0</formula>
    </cfRule>
  </conditionalFormatting>
  <conditionalFormatting sqref="I2:I90">
    <cfRule type="containsText" dxfId="10" priority="2" operator="containsText" text="Pass">
      <formula>NOT(ISERROR(SEARCH(("Pass"),(I2))))</formula>
    </cfRule>
    <cfRule type="containsText" dxfId="9" priority="3" operator="containsText" text="Fail">
      <formula>NOT(ISERROR(SEARCH(("Fail"),(I2))))</formula>
    </cfRule>
    <cfRule type="containsText" dxfId="8" priority="4" operator="containsText" text="Block">
      <formula>NOT(ISERROR(SEARCH(("Block"),(I2))))</formula>
    </cfRule>
    <cfRule type="containsText" dxfId="7" priority="5" operator="containsText" text="N/A">
      <formula>NOT(ISERROR(SEARCH(("N/A"),(I2))))</formula>
    </cfRule>
  </conditionalFormatting>
  <conditionalFormatting sqref="I3:I90">
    <cfRule type="containsText" dxfId="6" priority="6" operator="containsText" text="N/T">
      <formula>NOT(ISERROR(SEARCH(("N/T"),(I3))))</formula>
    </cfRule>
  </conditionalFormatting>
  <conditionalFormatting sqref="J1:L1">
    <cfRule type="containsBlanks" dxfId="5" priority="345">
      <formula>LEN(TRIM(J1))=0</formula>
    </cfRule>
    <cfRule type="containsText" dxfId="4" priority="348" operator="containsText" text="Pass">
      <formula>NOT(ISERROR(SEARCH(("Pass"),(J1))))</formula>
    </cfRule>
    <cfRule type="containsText" dxfId="3" priority="352" operator="containsText" text="Fail">
      <formula>NOT(ISERROR(SEARCH(("Fail"),(J1))))</formula>
    </cfRule>
    <cfRule type="containsText" dxfId="2" priority="356" operator="containsText" text="Block">
      <formula>NOT(ISERROR(SEARCH(("Block"),(J1))))</formula>
    </cfRule>
    <cfRule type="containsText" dxfId="1" priority="360" operator="containsText" text="N/A">
      <formula>NOT(ISERROR(SEARCH(("N/A"),(J1))))</formula>
    </cfRule>
    <cfRule type="containsText" dxfId="0" priority="364" operator="containsText" text="N/T">
      <formula>NOT(ISERROR(SEARCH(("N/T"),(J1))))</formula>
    </cfRule>
  </conditionalFormatting>
  <pageMargins left="0.7" right="0.7" top="0.75" bottom="0.75" header="0.3" footer="0.3"/>
  <ignoredErrors>
    <ignoredError sqref="L19" evalError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"/>
  <sheetViews>
    <sheetView zoomScale="130" zoomScaleNormal="130" workbookViewId="0">
      <selection activeCell="M10" sqref="M10"/>
    </sheetView>
  </sheetViews>
  <sheetFormatPr defaultColWidth="12.5703125" defaultRowHeight="12.75" customHeight="1" x14ac:dyDescent="0.2"/>
  <cols>
    <col min="1" max="1" width="23.5703125" customWidth="1"/>
    <col min="2" max="2" width="6.42578125" customWidth="1"/>
    <col min="3" max="3" width="15.7109375" customWidth="1"/>
    <col min="4" max="9" width="8.7109375" bestFit="1" customWidth="1"/>
    <col min="10" max="10" width="9.7109375" bestFit="1" customWidth="1"/>
  </cols>
  <sheetData>
    <row r="1" spans="1:10" ht="12.75" customHeight="1" x14ac:dyDescent="0.2">
      <c r="A1" s="9" t="s">
        <v>40</v>
      </c>
    </row>
    <row r="2" spans="1:10" ht="12.75" customHeight="1" x14ac:dyDescent="0.2">
      <c r="A2" s="10" t="s">
        <v>35</v>
      </c>
      <c r="B2" s="10" t="s">
        <v>36</v>
      </c>
      <c r="C2" s="10" t="s">
        <v>37</v>
      </c>
      <c r="D2" s="10" t="s">
        <v>13</v>
      </c>
      <c r="E2" s="10" t="s">
        <v>19</v>
      </c>
      <c r="F2" s="10" t="s">
        <v>26</v>
      </c>
      <c r="G2" s="10" t="s">
        <v>21</v>
      </c>
      <c r="H2" s="10" t="s">
        <v>31</v>
      </c>
      <c r="I2" s="10" t="s">
        <v>38</v>
      </c>
      <c r="J2" s="10" t="s">
        <v>39</v>
      </c>
    </row>
    <row r="3" spans="1:10" ht="12.75" customHeight="1" x14ac:dyDescent="0.2">
      <c r="A3" s="11" t="s">
        <v>11</v>
      </c>
      <c r="B3" s="12">
        <v>9</v>
      </c>
      <c r="C3" s="13">
        <f>IFERROR(B3/$B$7,0)</f>
        <v>0.10112359550561797</v>
      </c>
      <c r="D3" s="12">
        <v>4</v>
      </c>
      <c r="E3" s="12">
        <v>1</v>
      </c>
      <c r="F3" s="12">
        <f>COUNTIFS(TestCase!$I:$I,"*"&amp;F$2&amp;"*",TestCase!$L:$L,$A3)</f>
        <v>1</v>
      </c>
      <c r="G3" s="12">
        <f>COUNTIFS(TestCase!$I:$I,"*"&amp;G$2&amp;"*",TestCase!$L:$L,$A3)</f>
        <v>2</v>
      </c>
      <c r="H3" s="12">
        <f>COUNTIFS(TestCase!$I:$I,"*"&amp;H$2&amp;"*",TestCase!$L:$L,$A3)</f>
        <v>1</v>
      </c>
      <c r="I3" s="12">
        <v>9</v>
      </c>
      <c r="J3" s="15">
        <f>I3/B3</f>
        <v>1</v>
      </c>
    </row>
    <row r="4" spans="1:10" ht="12.75" customHeight="1" x14ac:dyDescent="0.2">
      <c r="A4" s="11" t="s">
        <v>33</v>
      </c>
      <c r="B4" s="12">
        <f>COUNTIF(TestCase!L:L,A4)</f>
        <v>4</v>
      </c>
      <c r="C4" s="13">
        <f>IFERROR(B4/$B$7,0)</f>
        <v>4.49438202247191E-2</v>
      </c>
      <c r="D4" s="12">
        <f>COUNTIFS(TestCase!$I:$I,"*"&amp;D$2&amp;"*",TestCase!$L:$L,$A4)</f>
        <v>3</v>
      </c>
      <c r="E4" s="12">
        <f>COUNTIFS(TestCase!$I:$I,"*"&amp;E$2&amp;"*",TestCase!$L:$L,$A4)</f>
        <v>0</v>
      </c>
      <c r="F4" s="12">
        <f>COUNTIFS(TestCase!$I:$I,"*"&amp;F$2&amp;"*",TestCase!$L:$L,$A4)</f>
        <v>0</v>
      </c>
      <c r="G4" s="12">
        <f>COUNTIFS(TestCase!$I:$I,"*"&amp;G$2&amp;"*",TestCase!$L:$L,$A4)</f>
        <v>0</v>
      </c>
      <c r="H4" s="12">
        <f>COUNTIFS(TestCase!$I:$I,"*"&amp;H$2&amp;"*",TestCase!$L:$L,$A4)</f>
        <v>1</v>
      </c>
      <c r="I4" s="14">
        <f t="shared" ref="I4:I5" si="0">SUM(D4:H4)</f>
        <v>4</v>
      </c>
      <c r="J4" s="15">
        <f t="shared" ref="J4:J5" si="1">I4/B4</f>
        <v>1</v>
      </c>
    </row>
    <row r="5" spans="1:10" ht="12.75" customHeight="1" x14ac:dyDescent="0.2">
      <c r="A5" s="11" t="s">
        <v>34</v>
      </c>
      <c r="B5" s="12">
        <v>52</v>
      </c>
      <c r="C5" s="13">
        <f>IFERROR(B5/$B$7,0)</f>
        <v>0.5842696629213483</v>
      </c>
      <c r="D5" s="12">
        <v>31</v>
      </c>
      <c r="E5" s="12">
        <f>COUNTIFS(TestCase!$I:$I,"*"&amp;E$2&amp;"*",TestCase!$L:$L,$A5)</f>
        <v>0</v>
      </c>
      <c r="F5" s="12">
        <v>18</v>
      </c>
      <c r="G5" s="12">
        <v>3</v>
      </c>
      <c r="H5" s="12">
        <f>COUNTIFS(TestCase!$I:$I,"*"&amp;H$2&amp;"*",TestCase!$L:$L,$A5)</f>
        <v>0</v>
      </c>
      <c r="I5" s="14">
        <f t="shared" si="0"/>
        <v>52</v>
      </c>
      <c r="J5" s="15">
        <f t="shared" si="1"/>
        <v>1</v>
      </c>
    </row>
    <row r="6" spans="1:10" ht="12.75" customHeight="1" x14ac:dyDescent="0.2">
      <c r="A6" s="11" t="s">
        <v>304</v>
      </c>
      <c r="B6" s="12">
        <v>24</v>
      </c>
      <c r="C6" s="13">
        <f>IFERROR(B6/$B$7,0)</f>
        <v>0.2696629213483146</v>
      </c>
      <c r="D6" s="12">
        <v>20</v>
      </c>
      <c r="E6" s="12">
        <f>COUNTIFS(TestCase!$I:$I,"*"&amp;E$2&amp;"*",TestCase!$L:$L,$A6)</f>
        <v>0</v>
      </c>
      <c r="F6" s="12">
        <f>COUNTIFS(TestCase!$I:$I,"*"&amp;F$2&amp;"*",TestCase!$L:$L,$A6)</f>
        <v>0</v>
      </c>
      <c r="G6" s="12">
        <f>COUNTIFS(TestCase!$I:$I,"*"&amp;G$2&amp;"*",TestCase!$L:$L,$A6)</f>
        <v>0</v>
      </c>
      <c r="H6" s="12">
        <v>4</v>
      </c>
      <c r="I6" s="14">
        <f t="shared" ref="I6" si="2">SUM(D6:H6)</f>
        <v>24</v>
      </c>
      <c r="J6" s="15">
        <f t="shared" ref="J6" si="3">I6/B6</f>
        <v>1</v>
      </c>
    </row>
    <row r="7" spans="1:10" ht="12.75" customHeight="1" x14ac:dyDescent="0.2">
      <c r="A7" s="16" t="s">
        <v>38</v>
      </c>
      <c r="B7" s="66">
        <f>SUM(B3:B6)</f>
        <v>89</v>
      </c>
      <c r="C7" s="68">
        <f>SUM(C3:C6)/SUM($C$3:$C$6)</f>
        <v>1</v>
      </c>
      <c r="D7" s="67">
        <f>SUM(D3:D6)</f>
        <v>58</v>
      </c>
      <c r="E7" s="67">
        <f>SUM(E3:E6)</f>
        <v>1</v>
      </c>
      <c r="F7" s="67">
        <f>SUM(F3:F6)</f>
        <v>19</v>
      </c>
      <c r="G7" s="67">
        <f>SUM(G3:G6)</f>
        <v>5</v>
      </c>
      <c r="H7" s="67">
        <f>SUM(H3:H6)</f>
        <v>6</v>
      </c>
      <c r="I7" s="67">
        <f>SUM(I3:I6)</f>
        <v>89</v>
      </c>
      <c r="J7" s="14"/>
    </row>
    <row r="8" spans="1:10" ht="12.75" customHeight="1" x14ac:dyDescent="0.2">
      <c r="A8" s="16" t="s">
        <v>39</v>
      </c>
      <c r="B8" s="16"/>
      <c r="C8" s="16"/>
      <c r="D8" s="15">
        <f>D7/$B7</f>
        <v>0.651685393258427</v>
      </c>
      <c r="E8" s="15">
        <f>E7/$B7</f>
        <v>1.1235955056179775E-2</v>
      </c>
      <c r="F8" s="15">
        <f>F7/$B7</f>
        <v>0.21348314606741572</v>
      </c>
      <c r="G8" s="15">
        <f>G7/$B7</f>
        <v>5.6179775280898875E-2</v>
      </c>
      <c r="H8" s="15">
        <f>H7/$B7</f>
        <v>6.741573033707865E-2</v>
      </c>
      <c r="I8" s="15">
        <f>I7/$B7</f>
        <v>1</v>
      </c>
      <c r="J8" s="14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TestCase</vt:lpstr>
      <vt:lpstr>TC MAP</vt:lpstr>
      <vt:lpstr>TestCase!머릿글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시현 안</cp:lastModifiedBy>
  <dcterms:created xsi:type="dcterms:W3CDTF">2025-09-15T15:28:01Z</dcterms:created>
  <dcterms:modified xsi:type="dcterms:W3CDTF">2025-10-21T14:44:03Z</dcterms:modified>
</cp:coreProperties>
</file>